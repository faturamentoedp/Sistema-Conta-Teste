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edponcloud.sharepoint.com/teams/o365_edpbr-faturamentosp/Shared Documents/General/2026/CELULA DA QUALIDADE/CTESTE 2026/MAIO2026/Lote 09/"/>
    </mc:Choice>
  </mc:AlternateContent>
  <xr:revisionPtr revIDLastSave="0" documentId="8_{13F43F70-B8DA-4780-A379-9BC680FFE61F}" xr6:coauthVersionLast="47" xr6:coauthVersionMax="47" xr10:uidLastSave="{00000000-0000-0000-0000-000000000000}"/>
  <bookViews>
    <workbookView xWindow="-108" yWindow="-108" windowWidth="23256" windowHeight="12456" tabRatio="703" firstSheet="6" activeTab="9" xr2:uid="{00000000-000D-0000-FFFF-FFFF00000000}"/>
  </bookViews>
  <sheets>
    <sheet name="TARIFAS 2024" sheetId="17" state="hidden" r:id="rId1"/>
    <sheet name="TARIFAS 2025" sheetId="48" state="hidden" r:id="rId2"/>
    <sheet name="COMP 2025" sheetId="44" state="hidden" r:id="rId3"/>
    <sheet name="COMP 2024" sheetId="45" state="hidden" r:id="rId4"/>
    <sheet name="ESCASSEZ" sheetId="46" state="hidden" r:id="rId5"/>
    <sheet name="B1CDE " sheetId="55" r:id="rId6"/>
    <sheet name="B1CDE 0%" sheetId="54" r:id="rId7"/>
    <sheet name="B1C ICMS" sheetId="38" r:id="rId8"/>
    <sheet name="B1C" sheetId="4" r:id="rId9"/>
    <sheet name="B1CTB" sheetId="20" r:id="rId10"/>
    <sheet name="B2 " sheetId="31" r:id="rId11"/>
    <sheet name="B2 ICMS" sheetId="32" r:id="rId12"/>
    <sheet name="B2 (Irr) " sheetId="6" state="hidden" r:id="rId13"/>
    <sheet name="B2TB" sheetId="22" state="hidden" r:id="rId14"/>
    <sheet name="FIO B 2024" sheetId="30" state="hidden" r:id="rId15"/>
    <sheet name="B3" sheetId="33" r:id="rId16"/>
    <sheet name="FIO B 2025" sheetId="50" state="hidden" r:id="rId17"/>
    <sheet name="B3 IR" sheetId="34" r:id="rId18"/>
    <sheet name="B3 TB" sheetId="41" r:id="rId19"/>
    <sheet name="B3 PPF" sheetId="35" r:id="rId20"/>
    <sheet name="B3 CP" sheetId="36" r:id="rId21"/>
    <sheet name="B3 AES" sheetId="37" r:id="rId22"/>
    <sheet name="B4A" sheetId="39" r:id="rId23"/>
    <sheet name="B4B" sheetId="40" r:id="rId24"/>
    <sheet name="BANDEIRAS" sheetId="19" state="hidden" r:id="rId25"/>
  </sheets>
  <externalReferences>
    <externalReference r:id="rId26"/>
    <externalReference r:id="rId27"/>
  </externalReferences>
  <definedNames>
    <definedName name="_xleta.ROUND" hidden="1" xlm="1">#NAME?</definedName>
  </definedNames>
  <calcPr calcId="191028"/>
  <customWorkbookViews>
    <customWorkbookView name="Fabiana Alves De Freitas Pinheiro - Modo de exibição pessoal" guid="{D812A0C8-60A1-4775-A604-FC65C9DC40BF}" mergeInterval="0" personalView="1" maximized="1" xWindow="-8" yWindow="-8" windowWidth="1456" windowHeight="873" tabRatio="703" activeSheetId="12"/>
    <customWorkbookView name="Zoghanna Damacena Ribeiro - Modo de exibição pessoal" guid="{8D3CE498-0ABB-4BB0-92D1-93DA2BDD5EDF}" mergeInterval="0" personalView="1" maximized="1" xWindow="-9" yWindow="-9" windowWidth="1938" windowHeight="1048" tabRatio="703" activeSheetId="4"/>
    <customWorkbookView name="FABIANA ALVES DE FREITAS - Modo de exibição pessoal" guid="{455EF305-F4BF-4162-9D3A-67B1D57A792B}" mergeInterval="0" personalView="1" maximized="1" xWindow="-8" yWindow="-8" windowWidth="1382" windowHeight="744" tabRatio="703" activeSheetId="11"/>
    <customWorkbookView name="Giovanni Lombardi - Modo de exibição pessoal" guid="{AED82DA2-4B0E-4368-BF7F-A78E16192BBB}" mergeInterval="0" personalView="1" maximized="1" xWindow="-8" yWindow="-8" windowWidth="1382" windowHeight="744" tabRatio="703" activeSheetId="6"/>
    <customWorkbookView name="Alex Da Costa Pereira - Modo de exibição pessoal" guid="{8AD5A21B-3743-481B-8B5E-3FEE10EB7B2F}" mergeInterval="0" personalView="1" maximized="1" xWindow="-8" yWindow="-8" windowWidth="1616" windowHeight="876" tabRatio="703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4" i="33" l="1"/>
  <c r="P32" i="33"/>
  <c r="P31" i="33"/>
  <c r="P33" i="33"/>
  <c r="F44" i="4"/>
  <c r="D33" i="33" l="1"/>
  <c r="K26" i="20" l="1"/>
  <c r="H26" i="20"/>
  <c r="D42" i="55"/>
  <c r="D41" i="55"/>
  <c r="D34" i="37"/>
  <c r="D42" i="54"/>
  <c r="D35" i="20"/>
  <c r="D34" i="20"/>
  <c r="D33" i="20"/>
  <c r="D37" i="20"/>
  <c r="D34" i="4"/>
  <c r="K26" i="32"/>
  <c r="K26" i="31"/>
  <c r="F2" i="40"/>
  <c r="F2" i="39"/>
  <c r="F2" i="37"/>
  <c r="F2" i="36"/>
  <c r="F2" i="35"/>
  <c r="F2" i="41"/>
  <c r="F2" i="34"/>
  <c r="F2" i="33"/>
  <c r="F2" i="32"/>
  <c r="F2" i="31"/>
  <c r="D26" i="31" s="1"/>
  <c r="F2" i="20"/>
  <c r="F2" i="4"/>
  <c r="F2" i="38"/>
  <c r="F2" i="54"/>
  <c r="D34" i="33"/>
  <c r="D35" i="33"/>
  <c r="D34" i="31"/>
  <c r="D32" i="4"/>
  <c r="D35" i="4"/>
  <c r="D34" i="36"/>
  <c r="E31" i="55" l="1"/>
  <c r="D60" i="55"/>
  <c r="D59" i="55"/>
  <c r="D32" i="39"/>
  <c r="N32" i="38" l="1"/>
  <c r="N38" i="54" s="1"/>
  <c r="N31" i="38"/>
  <c r="N37" i="54" s="1"/>
  <c r="N32" i="39"/>
  <c r="N31" i="39"/>
  <c r="D65" i="55" l="1"/>
  <c r="D67" i="55" s="1"/>
  <c r="H65" i="55" l="1"/>
  <c r="D66" i="55"/>
  <c r="H66" i="55" l="1"/>
  <c r="H67" i="55"/>
  <c r="F55" i="55"/>
  <c r="F54" i="55"/>
  <c r="E54" i="55"/>
  <c r="G54" i="55" s="1"/>
  <c r="E53" i="55"/>
  <c r="D39" i="55"/>
  <c r="D38" i="55"/>
  <c r="H38" i="55" s="1"/>
  <c r="K39" i="55"/>
  <c r="K37" i="55"/>
  <c r="K38" i="55"/>
  <c r="D68" i="55" l="1"/>
  <c r="H68" i="55" s="1"/>
  <c r="E55" i="55"/>
  <c r="G55" i="55" s="1"/>
  <c r="D32" i="37"/>
  <c r="E27" i="54" l="1"/>
  <c r="P7" i="54" s="1"/>
  <c r="B27" i="54"/>
  <c r="M7" i="54" s="1"/>
  <c r="N7" i="54" s="1"/>
  <c r="O7" i="54" l="1"/>
  <c r="J8" i="54" s="1"/>
  <c r="Q7" i="54"/>
  <c r="Q7" i="55"/>
  <c r="O7" i="55"/>
  <c r="N7" i="55"/>
  <c r="D26" i="55"/>
  <c r="C26" i="55"/>
  <c r="J7" i="55"/>
  <c r="I7" i="55"/>
  <c r="E30" i="55"/>
  <c r="K36" i="55"/>
  <c r="E79" i="55"/>
  <c r="F73" i="55"/>
  <c r="D73" i="55"/>
  <c r="F72" i="55"/>
  <c r="D72" i="55"/>
  <c r="F71" i="55"/>
  <c r="D71" i="55"/>
  <c r="F70" i="55"/>
  <c r="K43" i="55"/>
  <c r="D43" i="55"/>
  <c r="K42" i="55"/>
  <c r="K41" i="55"/>
  <c r="K40" i="55"/>
  <c r="E78" i="55"/>
  <c r="F26" i="55"/>
  <c r="E59" i="55"/>
  <c r="H8" i="55"/>
  <c r="E8" i="55"/>
  <c r="H6" i="55"/>
  <c r="E6" i="55"/>
  <c r="K16" i="55" l="1"/>
  <c r="E77" i="55"/>
  <c r="D77" i="55" s="1"/>
  <c r="G38" i="55"/>
  <c r="H39" i="55"/>
  <c r="G39" i="55"/>
  <c r="J8" i="55"/>
  <c r="F53" i="55" s="1"/>
  <c r="G53" i="55" s="1"/>
  <c r="H55" i="55" s="1"/>
  <c r="H73" i="55"/>
  <c r="E128" i="55"/>
  <c r="F59" i="55"/>
  <c r="H59" i="55" s="1"/>
  <c r="H71" i="55"/>
  <c r="E43" i="55"/>
  <c r="F43" i="55" s="1"/>
  <c r="K27" i="55"/>
  <c r="E42" i="55"/>
  <c r="F42" i="55" s="1"/>
  <c r="H41" i="55"/>
  <c r="J41" i="55" s="1"/>
  <c r="H42" i="55"/>
  <c r="J42" i="55" s="1"/>
  <c r="H72" i="55"/>
  <c r="G43" i="55"/>
  <c r="H27" i="55"/>
  <c r="H43" i="55"/>
  <c r="J43" i="55" s="1"/>
  <c r="G42" i="55"/>
  <c r="H25" i="55"/>
  <c r="E41" i="55"/>
  <c r="F41" i="55" s="1"/>
  <c r="G41" i="55"/>
  <c r="D60" i="54"/>
  <c r="F61" i="54"/>
  <c r="F64" i="54" s="1"/>
  <c r="E61" i="54"/>
  <c r="F66" i="54"/>
  <c r="P7" i="55"/>
  <c r="M7" i="55"/>
  <c r="E31" i="54"/>
  <c r="E30" i="54"/>
  <c r="D40" i="54" s="1"/>
  <c r="K40" i="54"/>
  <c r="K39" i="54"/>
  <c r="J39" i="54"/>
  <c r="J40" i="54"/>
  <c r="K38" i="54"/>
  <c r="K37" i="54"/>
  <c r="E77" i="54"/>
  <c r="D77" i="54"/>
  <c r="E76" i="54"/>
  <c r="E75" i="54"/>
  <c r="F69" i="54"/>
  <c r="D69" i="54"/>
  <c r="H69" i="54" s="1"/>
  <c r="F68" i="54"/>
  <c r="D68" i="54"/>
  <c r="F67" i="54"/>
  <c r="D67" i="54"/>
  <c r="H67" i="54" s="1"/>
  <c r="K44" i="54"/>
  <c r="E44" i="54" s="1"/>
  <c r="D44" i="54"/>
  <c r="H44" i="54" s="1"/>
  <c r="K43" i="54"/>
  <c r="E43" i="54" s="1"/>
  <c r="J43" i="54"/>
  <c r="D43" i="54"/>
  <c r="K42" i="54"/>
  <c r="E42" i="54" s="1"/>
  <c r="J42" i="54"/>
  <c r="K41" i="54"/>
  <c r="J41" i="54"/>
  <c r="J38" i="54"/>
  <c r="D38" i="54"/>
  <c r="D61" i="54" s="1"/>
  <c r="D64" i="54" s="1"/>
  <c r="J37" i="54"/>
  <c r="K27" i="54"/>
  <c r="H8" i="54"/>
  <c r="E8" i="54"/>
  <c r="H6" i="54"/>
  <c r="E6" i="54"/>
  <c r="G59" i="55" l="1"/>
  <c r="H68" i="54"/>
  <c r="J38" i="55"/>
  <c r="J39" i="55"/>
  <c r="E39" i="55" s="1"/>
  <c r="H77" i="54"/>
  <c r="G123" i="55"/>
  <c r="D130" i="55"/>
  <c r="G126" i="55"/>
  <c r="D127" i="55"/>
  <c r="J12" i="55"/>
  <c r="K12" i="55" s="1"/>
  <c r="E130" i="55"/>
  <c r="F127" i="55"/>
  <c r="D123" i="55"/>
  <c r="G125" i="55"/>
  <c r="G124" i="55"/>
  <c r="F129" i="55"/>
  <c r="G127" i="55"/>
  <c r="F126" i="55"/>
  <c r="F124" i="55"/>
  <c r="F130" i="55"/>
  <c r="H37" i="55"/>
  <c r="G130" i="55"/>
  <c r="E123" i="55"/>
  <c r="E126" i="55"/>
  <c r="F125" i="55"/>
  <c r="D125" i="55"/>
  <c r="E129" i="55"/>
  <c r="F128" i="55"/>
  <c r="D128" i="55"/>
  <c r="F123" i="55"/>
  <c r="F131" i="55"/>
  <c r="E131" i="55"/>
  <c r="G128" i="55"/>
  <c r="G129" i="55"/>
  <c r="D129" i="55"/>
  <c r="D131" i="55"/>
  <c r="G131" i="55"/>
  <c r="E124" i="55"/>
  <c r="E125" i="55"/>
  <c r="D126" i="55"/>
  <c r="D124" i="55"/>
  <c r="E127" i="55"/>
  <c r="I27" i="55"/>
  <c r="J27" i="55"/>
  <c r="D40" i="55" s="1"/>
  <c r="H61" i="54"/>
  <c r="E64" i="54"/>
  <c r="G43" i="54"/>
  <c r="F42" i="54"/>
  <c r="G40" i="54"/>
  <c r="G39" i="54"/>
  <c r="E39" i="54" s="1"/>
  <c r="D27" i="54"/>
  <c r="J44" i="54"/>
  <c r="J52" i="54" s="1"/>
  <c r="H52" i="54"/>
  <c r="H27" i="54"/>
  <c r="F43" i="54"/>
  <c r="G42" i="54"/>
  <c r="G44" i="54"/>
  <c r="C27" i="54"/>
  <c r="F27" i="54"/>
  <c r="F44" i="54"/>
  <c r="H25" i="54"/>
  <c r="D33" i="41"/>
  <c r="E40" i="54" l="1"/>
  <c r="F40" i="54" s="1"/>
  <c r="F39" i="54"/>
  <c r="E38" i="55"/>
  <c r="F38" i="55" s="1"/>
  <c r="J37" i="55"/>
  <c r="D70" i="55"/>
  <c r="H70" i="55" s="1"/>
  <c r="G37" i="55"/>
  <c r="F60" i="55"/>
  <c r="K6" i="55"/>
  <c r="E60" i="55"/>
  <c r="K8" i="55"/>
  <c r="H36" i="55"/>
  <c r="G36" i="55"/>
  <c r="H64" i="54"/>
  <c r="G64" i="54"/>
  <c r="I27" i="54"/>
  <c r="G129" i="54"/>
  <c r="G126" i="54"/>
  <c r="G123" i="54"/>
  <c r="F54" i="54"/>
  <c r="F129" i="54"/>
  <c r="F126" i="54"/>
  <c r="F123" i="54"/>
  <c r="D129" i="54"/>
  <c r="D126" i="54"/>
  <c r="D123" i="54"/>
  <c r="G128" i="54"/>
  <c r="G122" i="54"/>
  <c r="F128" i="54"/>
  <c r="F122" i="54"/>
  <c r="D122" i="54"/>
  <c r="G127" i="54"/>
  <c r="E127" i="54"/>
  <c r="D124" i="54"/>
  <c r="E129" i="54"/>
  <c r="E126" i="54"/>
  <c r="E123" i="54"/>
  <c r="G125" i="54"/>
  <c r="F125" i="54"/>
  <c r="J6" i="54"/>
  <c r="F60" i="54" s="1"/>
  <c r="D125" i="54"/>
  <c r="G124" i="54"/>
  <c r="F127" i="54"/>
  <c r="F124" i="54"/>
  <c r="F121" i="54"/>
  <c r="E124" i="54"/>
  <c r="D127" i="54"/>
  <c r="E128" i="54"/>
  <c r="E125" i="54"/>
  <c r="E122" i="54"/>
  <c r="K16" i="54"/>
  <c r="J12" i="54" s="1"/>
  <c r="K12" i="54" s="1"/>
  <c r="I6" i="54"/>
  <c r="E60" i="54" s="1"/>
  <c r="D128" i="54"/>
  <c r="G121" i="54"/>
  <c r="E121" i="54"/>
  <c r="D121" i="54"/>
  <c r="J27" i="54"/>
  <c r="D41" i="54" s="1"/>
  <c r="D38" i="20"/>
  <c r="E37" i="55" l="1"/>
  <c r="F37" i="55" s="1"/>
  <c r="F39" i="55"/>
  <c r="J65" i="55"/>
  <c r="C13" i="55" s="1"/>
  <c r="C16" i="55" s="1"/>
  <c r="H60" i="54"/>
  <c r="J60" i="54" s="1"/>
  <c r="G60" i="55"/>
  <c r="H60" i="55"/>
  <c r="J58" i="55" s="1"/>
  <c r="J36" i="55"/>
  <c r="H40" i="55"/>
  <c r="G40" i="55"/>
  <c r="G51" i="55" s="1"/>
  <c r="D66" i="54"/>
  <c r="H66" i="54" s="1"/>
  <c r="K8" i="54"/>
  <c r="K6" i="54"/>
  <c r="G38" i="54"/>
  <c r="E38" i="54" s="1"/>
  <c r="F38" i="54" s="1"/>
  <c r="K37" i="20"/>
  <c r="J40" i="55" l="1"/>
  <c r="E40" i="55" s="1"/>
  <c r="F40" i="55" s="1"/>
  <c r="D79" i="55"/>
  <c r="C19" i="55"/>
  <c r="C17" i="55"/>
  <c r="C18" i="55"/>
  <c r="H51" i="55"/>
  <c r="E36" i="55"/>
  <c r="F36" i="55" s="1"/>
  <c r="J65" i="54"/>
  <c r="C13" i="54" s="1"/>
  <c r="D75" i="54"/>
  <c r="M37" i="54" s="1"/>
  <c r="G41" i="54"/>
  <c r="E41" i="54" s="1"/>
  <c r="F41" i="54" s="1"/>
  <c r="G37" i="54"/>
  <c r="E26" i="36"/>
  <c r="E26" i="35"/>
  <c r="E26" i="41"/>
  <c r="E26" i="34"/>
  <c r="E26" i="33"/>
  <c r="B26" i="36"/>
  <c r="B26" i="35"/>
  <c r="B26" i="41"/>
  <c r="B26" i="34"/>
  <c r="B26" i="33"/>
  <c r="J51" i="55" l="1"/>
  <c r="H79" i="55"/>
  <c r="I79" i="55" s="1"/>
  <c r="G52" i="54"/>
  <c r="F51" i="55"/>
  <c r="O51" i="55" s="1"/>
  <c r="E37" i="54"/>
  <c r="F37" i="54" s="1"/>
  <c r="F52" i="54" s="1"/>
  <c r="O52" i="54" s="1"/>
  <c r="C16" i="54"/>
  <c r="C17" i="54"/>
  <c r="C19" i="54"/>
  <c r="C18" i="54"/>
  <c r="H75" i="54"/>
  <c r="D76" i="54"/>
  <c r="H76" i="54" s="1"/>
  <c r="M38" i="54"/>
  <c r="O38" i="54" s="1"/>
  <c r="O37" i="54"/>
  <c r="E26" i="39"/>
  <c r="B26" i="39"/>
  <c r="L65" i="54" l="1"/>
  <c r="C20" i="54" s="1"/>
  <c r="C21" i="54" s="1"/>
  <c r="H104" i="50"/>
  <c r="I104" i="50" s="1"/>
  <c r="H103" i="50"/>
  <c r="I103" i="50" s="1"/>
  <c r="H102" i="50"/>
  <c r="I102" i="50" s="1"/>
  <c r="H101" i="50"/>
  <c r="I101" i="50" s="1"/>
  <c r="I96" i="50"/>
  <c r="I95" i="50"/>
  <c r="I94" i="50"/>
  <c r="I93" i="50"/>
  <c r="I92" i="50"/>
  <c r="I91" i="50"/>
  <c r="I90" i="50"/>
  <c r="I89" i="50"/>
  <c r="I88" i="50"/>
  <c r="I87" i="50"/>
  <c r="I86" i="50"/>
  <c r="I85" i="50"/>
  <c r="I84" i="50"/>
  <c r="I83" i="50"/>
  <c r="I82" i="50"/>
  <c r="I81" i="50"/>
  <c r="I80" i="50"/>
  <c r="I79" i="50"/>
  <c r="I78" i="50"/>
  <c r="I77" i="50"/>
  <c r="I76" i="50"/>
  <c r="I75" i="50"/>
  <c r="I74" i="50"/>
  <c r="I73" i="50"/>
  <c r="I72" i="50"/>
  <c r="I71" i="50"/>
  <c r="I70" i="50"/>
  <c r="I69" i="50"/>
  <c r="I68" i="50"/>
  <c r="I67" i="50"/>
  <c r="I66" i="50"/>
  <c r="I65" i="50"/>
  <c r="I64" i="50"/>
  <c r="I63" i="50"/>
  <c r="I62" i="50"/>
  <c r="D99" i="48" l="1"/>
  <c r="C99" i="48"/>
  <c r="D98" i="48"/>
  <c r="C98" i="48"/>
  <c r="D97" i="48"/>
  <c r="C97" i="48"/>
  <c r="D96" i="48"/>
  <c r="C96" i="48"/>
  <c r="O91" i="48"/>
  <c r="N91" i="48"/>
  <c r="J91" i="48"/>
  <c r="I91" i="48"/>
  <c r="O90" i="48"/>
  <c r="N90" i="48"/>
  <c r="J90" i="48"/>
  <c r="I90" i="48"/>
  <c r="O89" i="48"/>
  <c r="N89" i="48"/>
  <c r="J89" i="48"/>
  <c r="I89" i="48"/>
  <c r="O88" i="48"/>
  <c r="N88" i="48"/>
  <c r="J88" i="48"/>
  <c r="I88" i="48"/>
  <c r="O87" i="48"/>
  <c r="N87" i="48"/>
  <c r="J87" i="48"/>
  <c r="I87" i="48"/>
  <c r="O86" i="48"/>
  <c r="N86" i="48"/>
  <c r="J86" i="48"/>
  <c r="I86" i="48"/>
  <c r="O85" i="48"/>
  <c r="N85" i="48"/>
  <c r="J85" i="48"/>
  <c r="I85" i="48"/>
  <c r="O84" i="48"/>
  <c r="N84" i="48"/>
  <c r="J84" i="48"/>
  <c r="I84" i="48"/>
  <c r="O83" i="48"/>
  <c r="N83" i="48"/>
  <c r="J83" i="48"/>
  <c r="I83" i="48"/>
  <c r="O82" i="48"/>
  <c r="N82" i="48"/>
  <c r="J82" i="48"/>
  <c r="I82" i="48"/>
  <c r="O81" i="48"/>
  <c r="N81" i="48"/>
  <c r="J81" i="48"/>
  <c r="I81" i="48"/>
  <c r="O80" i="48"/>
  <c r="N80" i="48"/>
  <c r="J80" i="48"/>
  <c r="I80" i="48"/>
  <c r="O79" i="48"/>
  <c r="N79" i="48"/>
  <c r="J79" i="48"/>
  <c r="I79" i="48"/>
  <c r="O78" i="48"/>
  <c r="N78" i="48"/>
  <c r="J78" i="48"/>
  <c r="I78" i="48"/>
  <c r="O77" i="48"/>
  <c r="N77" i="48"/>
  <c r="J77" i="48"/>
  <c r="I77" i="48"/>
  <c r="O76" i="48"/>
  <c r="N76" i="48"/>
  <c r="J76" i="48"/>
  <c r="I76" i="48"/>
  <c r="O75" i="48"/>
  <c r="N75" i="48"/>
  <c r="J75" i="48"/>
  <c r="I75" i="48"/>
  <c r="O74" i="48"/>
  <c r="N74" i="48"/>
  <c r="J74" i="48"/>
  <c r="I74" i="48"/>
  <c r="O73" i="48"/>
  <c r="N73" i="48"/>
  <c r="J73" i="48"/>
  <c r="I73" i="48"/>
  <c r="O72" i="48"/>
  <c r="N72" i="48"/>
  <c r="J72" i="48"/>
  <c r="I72" i="48"/>
  <c r="O71" i="48"/>
  <c r="N71" i="48"/>
  <c r="J71" i="48"/>
  <c r="I71" i="48"/>
  <c r="O70" i="48"/>
  <c r="N70" i="48"/>
  <c r="J70" i="48"/>
  <c r="I70" i="48"/>
  <c r="O69" i="48"/>
  <c r="N69" i="48"/>
  <c r="J69" i="48"/>
  <c r="I69" i="48"/>
  <c r="I63" i="48"/>
  <c r="H63" i="48"/>
  <c r="I62" i="48"/>
  <c r="H62" i="48"/>
  <c r="I61" i="48"/>
  <c r="H61" i="48"/>
  <c r="I60" i="48"/>
  <c r="H60" i="48"/>
  <c r="I59" i="48"/>
  <c r="H59" i="48"/>
  <c r="I58" i="48"/>
  <c r="H58" i="48"/>
  <c r="I57" i="48"/>
  <c r="H57" i="48"/>
  <c r="I56" i="48"/>
  <c r="H56" i="48"/>
  <c r="I55" i="48"/>
  <c r="H55" i="48"/>
  <c r="I54" i="48"/>
  <c r="H54" i="48"/>
  <c r="I53" i="48"/>
  <c r="H53" i="48"/>
  <c r="I52" i="48"/>
  <c r="H52" i="48"/>
  <c r="I51" i="48"/>
  <c r="H51" i="48"/>
  <c r="I50" i="48"/>
  <c r="H50" i="48"/>
  <c r="I49" i="48"/>
  <c r="H49" i="48"/>
  <c r="I48" i="48"/>
  <c r="H48" i="48"/>
  <c r="I47" i="48"/>
  <c r="H47" i="48"/>
  <c r="I46" i="48"/>
  <c r="H46" i="48"/>
  <c r="I45" i="48"/>
  <c r="H45" i="48"/>
  <c r="I44" i="48"/>
  <c r="H44" i="48"/>
  <c r="I43" i="48"/>
  <c r="H43" i="48"/>
  <c r="I42" i="48"/>
  <c r="H42" i="48"/>
  <c r="I41" i="48"/>
  <c r="H41" i="48"/>
  <c r="I40" i="48"/>
  <c r="H40" i="48"/>
  <c r="I39" i="48"/>
  <c r="H39" i="48"/>
  <c r="I38" i="48"/>
  <c r="H38" i="48"/>
  <c r="I37" i="48"/>
  <c r="H37" i="48"/>
  <c r="I36" i="48"/>
  <c r="H36" i="48"/>
  <c r="I35" i="48"/>
  <c r="H35" i="48"/>
  <c r="I34" i="48"/>
  <c r="H34" i="48"/>
  <c r="I33" i="48"/>
  <c r="H33" i="48"/>
  <c r="I32" i="48"/>
  <c r="H32" i="48"/>
  <c r="I31" i="48"/>
  <c r="H31" i="48"/>
  <c r="I30" i="48"/>
  <c r="H30" i="48"/>
  <c r="I29" i="48"/>
  <c r="H29" i="48"/>
  <c r="I28" i="48"/>
  <c r="H28" i="48"/>
  <c r="I27" i="48"/>
  <c r="H27" i="48"/>
  <c r="I26" i="48"/>
  <c r="H26" i="48"/>
  <c r="I25" i="48"/>
  <c r="H25" i="48"/>
  <c r="I24" i="48"/>
  <c r="H24" i="48"/>
  <c r="I23" i="48"/>
  <c r="H23" i="48"/>
  <c r="I22" i="48"/>
  <c r="H22" i="48"/>
  <c r="I21" i="48"/>
  <c r="H21" i="48"/>
  <c r="I20" i="48"/>
  <c r="H20" i="48"/>
  <c r="I19" i="48"/>
  <c r="H19" i="48"/>
  <c r="I18" i="48"/>
  <c r="H18" i="48"/>
  <c r="I17" i="48"/>
  <c r="H17" i="48"/>
  <c r="I16" i="48"/>
  <c r="H16" i="48"/>
  <c r="I15" i="48"/>
  <c r="H15" i="48"/>
  <c r="I14" i="48"/>
  <c r="H14" i="48"/>
  <c r="I13" i="48"/>
  <c r="H13" i="48"/>
  <c r="I12" i="48"/>
  <c r="H12" i="48"/>
  <c r="I11" i="48"/>
  <c r="H11" i="48"/>
  <c r="I10" i="48"/>
  <c r="H10" i="48"/>
  <c r="I9" i="48"/>
  <c r="H9" i="48"/>
  <c r="I8" i="48"/>
  <c r="H8" i="48"/>
  <c r="I7" i="48"/>
  <c r="H7" i="48"/>
  <c r="I6" i="48"/>
  <c r="H6" i="48"/>
  <c r="I5" i="48"/>
  <c r="H5" i="48"/>
  <c r="P29" i="46" l="1"/>
  <c r="O29" i="46"/>
  <c r="P28" i="46"/>
  <c r="O28" i="46"/>
  <c r="P27" i="46"/>
  <c r="O27" i="46"/>
  <c r="P26" i="46"/>
  <c r="O26" i="46"/>
  <c r="P25" i="46"/>
  <c r="O25" i="46"/>
  <c r="P24" i="46"/>
  <c r="O24" i="46"/>
  <c r="P23" i="46"/>
  <c r="O23" i="46"/>
  <c r="P22" i="46"/>
  <c r="O22" i="46"/>
  <c r="P21" i="46"/>
  <c r="O21" i="46"/>
  <c r="P20" i="46"/>
  <c r="O20" i="46"/>
  <c r="P19" i="46"/>
  <c r="O19" i="46"/>
  <c r="P18" i="46"/>
  <c r="O18" i="46"/>
  <c r="P17" i="46"/>
  <c r="O17" i="46"/>
  <c r="P16" i="46"/>
  <c r="O16" i="46"/>
  <c r="P15" i="46"/>
  <c r="O15" i="46"/>
  <c r="P14" i="46"/>
  <c r="O14" i="46"/>
  <c r="P13" i="46"/>
  <c r="O13" i="46"/>
  <c r="P12" i="46"/>
  <c r="O12" i="46"/>
  <c r="P10" i="46"/>
  <c r="P9" i="46"/>
  <c r="O9" i="46"/>
  <c r="P8" i="46"/>
  <c r="O8" i="46"/>
  <c r="P7" i="46"/>
  <c r="O7" i="46"/>
  <c r="P6" i="46"/>
  <c r="O6" i="46"/>
  <c r="K38" i="20" l="1"/>
  <c r="E74" i="41"/>
  <c r="F66" i="41"/>
  <c r="D66" i="41"/>
  <c r="H66" i="41" s="1"/>
  <c r="F65" i="41"/>
  <c r="F64" i="41"/>
  <c r="F63" i="41"/>
  <c r="D60" i="41"/>
  <c r="D59" i="41"/>
  <c r="D58" i="41"/>
  <c r="C49" i="41"/>
  <c r="K39" i="41"/>
  <c r="D39" i="41"/>
  <c r="K38" i="41"/>
  <c r="K37" i="41"/>
  <c r="K36" i="41"/>
  <c r="D35" i="41"/>
  <c r="D34" i="41"/>
  <c r="N31" i="41"/>
  <c r="N30" i="41"/>
  <c r="E72" i="41" s="1"/>
  <c r="K26" i="41"/>
  <c r="H26" i="41"/>
  <c r="F26" i="41"/>
  <c r="H24" i="41"/>
  <c r="J17" i="41"/>
  <c r="I17" i="41"/>
  <c r="H9" i="41"/>
  <c r="E9" i="41"/>
  <c r="H8" i="41"/>
  <c r="E8" i="41"/>
  <c r="H7" i="41"/>
  <c r="E7" i="41"/>
  <c r="H6" i="41"/>
  <c r="E6" i="41"/>
  <c r="E9" i="20"/>
  <c r="E68" i="40"/>
  <c r="F60" i="40"/>
  <c r="D60" i="40"/>
  <c r="F59" i="40"/>
  <c r="F58" i="40"/>
  <c r="F57" i="40"/>
  <c r="D54" i="40"/>
  <c r="K36" i="40"/>
  <c r="D36" i="40"/>
  <c r="K35" i="40"/>
  <c r="K34" i="40"/>
  <c r="K33" i="40"/>
  <c r="N32" i="40"/>
  <c r="E67" i="40" s="1"/>
  <c r="D32" i="40"/>
  <c r="N31" i="40"/>
  <c r="E26" i="40"/>
  <c r="F26" i="40" s="1"/>
  <c r="B26" i="40"/>
  <c r="H26" i="40" s="1"/>
  <c r="H7" i="40"/>
  <c r="E7" i="40"/>
  <c r="E6" i="40"/>
  <c r="E67" i="39"/>
  <c r="F59" i="39"/>
  <c r="D59" i="39"/>
  <c r="F58" i="39"/>
  <c r="F57" i="39"/>
  <c r="F56" i="39"/>
  <c r="D53" i="39"/>
  <c r="K36" i="39"/>
  <c r="D36" i="39"/>
  <c r="K35" i="39"/>
  <c r="K34" i="39"/>
  <c r="K33" i="39"/>
  <c r="E66" i="39"/>
  <c r="E65" i="39"/>
  <c r="K26" i="39"/>
  <c r="F26" i="39"/>
  <c r="H24" i="39"/>
  <c r="E7" i="39"/>
  <c r="H6" i="39"/>
  <c r="E6" i="39"/>
  <c r="C26" i="39"/>
  <c r="F26" i="37"/>
  <c r="F26" i="36"/>
  <c r="K26" i="35"/>
  <c r="F26" i="34"/>
  <c r="K26" i="33"/>
  <c r="H26" i="37"/>
  <c r="H24" i="36"/>
  <c r="H26" i="33"/>
  <c r="H26" i="31"/>
  <c r="N32" i="37"/>
  <c r="E67" i="37" s="1"/>
  <c r="N32" i="36"/>
  <c r="E67" i="36" s="1"/>
  <c r="N32" i="35"/>
  <c r="N32" i="34"/>
  <c r="N32" i="33"/>
  <c r="E67" i="33" s="1"/>
  <c r="N32" i="32"/>
  <c r="E67" i="32" s="1"/>
  <c r="N32" i="31"/>
  <c r="E67" i="31" s="1"/>
  <c r="N31" i="20"/>
  <c r="N31" i="37"/>
  <c r="N31" i="36"/>
  <c r="E66" i="36" s="1"/>
  <c r="N31" i="35"/>
  <c r="N31" i="34"/>
  <c r="E66" i="34" s="1"/>
  <c r="N31" i="33"/>
  <c r="E66" i="33" s="1"/>
  <c r="N31" i="32"/>
  <c r="N31" i="31"/>
  <c r="N30" i="20"/>
  <c r="D26" i="37"/>
  <c r="N32" i="4"/>
  <c r="N31" i="4"/>
  <c r="E68" i="38"/>
  <c r="F60" i="38"/>
  <c r="D60" i="38"/>
  <c r="F59" i="38"/>
  <c r="F58" i="38"/>
  <c r="F57" i="38"/>
  <c r="D54" i="38"/>
  <c r="K36" i="38"/>
  <c r="E36" i="38" s="1"/>
  <c r="D36" i="38"/>
  <c r="K35" i="38"/>
  <c r="K34" i="38"/>
  <c r="K33" i="38"/>
  <c r="E67" i="38"/>
  <c r="J32" i="38"/>
  <c r="D32" i="38"/>
  <c r="E66" i="38"/>
  <c r="K26" i="38"/>
  <c r="H26" i="38"/>
  <c r="F26" i="38"/>
  <c r="H24" i="38"/>
  <c r="H7" i="38"/>
  <c r="E7" i="38"/>
  <c r="H6" i="38"/>
  <c r="E6" i="38"/>
  <c r="E68" i="37"/>
  <c r="F60" i="37"/>
  <c r="D60" i="37"/>
  <c r="F59" i="37"/>
  <c r="F58" i="37"/>
  <c r="F57" i="37"/>
  <c r="D54" i="37"/>
  <c r="K36" i="37"/>
  <c r="D36" i="37"/>
  <c r="K35" i="37"/>
  <c r="K34" i="37"/>
  <c r="K33" i="37"/>
  <c r="K26" i="37"/>
  <c r="E7" i="37"/>
  <c r="E6" i="37"/>
  <c r="E68" i="36"/>
  <c r="F60" i="36"/>
  <c r="D60" i="36"/>
  <c r="F59" i="36"/>
  <c r="F58" i="36"/>
  <c r="F57" i="36"/>
  <c r="D54" i="36"/>
  <c r="K36" i="36"/>
  <c r="D36" i="36"/>
  <c r="K35" i="36"/>
  <c r="K34" i="36"/>
  <c r="K33" i="36"/>
  <c r="D32" i="36"/>
  <c r="E7" i="36"/>
  <c r="E6" i="36"/>
  <c r="E73" i="35"/>
  <c r="F65" i="35"/>
  <c r="D65" i="35"/>
  <c r="F64" i="35"/>
  <c r="F63" i="35"/>
  <c r="F62" i="35"/>
  <c r="D62" i="35"/>
  <c r="D59" i="35"/>
  <c r="K36" i="35"/>
  <c r="D36" i="35"/>
  <c r="K35" i="35"/>
  <c r="K34" i="35"/>
  <c r="K33" i="35"/>
  <c r="D33" i="35"/>
  <c r="D32" i="35"/>
  <c r="E7" i="35"/>
  <c r="H6" i="35"/>
  <c r="E6" i="35"/>
  <c r="E68" i="34"/>
  <c r="F60" i="34"/>
  <c r="D60" i="34"/>
  <c r="F59" i="34"/>
  <c r="F58" i="34"/>
  <c r="F57" i="34"/>
  <c r="D54" i="34"/>
  <c r="K36" i="34"/>
  <c r="D36" i="34"/>
  <c r="K35" i="34"/>
  <c r="K34" i="34"/>
  <c r="K33" i="34"/>
  <c r="D32" i="34"/>
  <c r="H7" i="34"/>
  <c r="E7" i="34"/>
  <c r="E6" i="34"/>
  <c r="E68" i="33"/>
  <c r="F60" i="33"/>
  <c r="D60" i="33"/>
  <c r="F59" i="33"/>
  <c r="F58" i="33"/>
  <c r="F57" i="33"/>
  <c r="D54" i="33"/>
  <c r="K36" i="33"/>
  <c r="K35" i="33"/>
  <c r="K34" i="33"/>
  <c r="K33" i="33"/>
  <c r="D32" i="33"/>
  <c r="E68" i="32"/>
  <c r="F60" i="32"/>
  <c r="D60" i="32"/>
  <c r="H60" i="32" s="1"/>
  <c r="F59" i="32"/>
  <c r="F58" i="32"/>
  <c r="F57" i="32"/>
  <c r="D54" i="32"/>
  <c r="K36" i="32"/>
  <c r="D36" i="32"/>
  <c r="K35" i="32"/>
  <c r="K34" i="32"/>
  <c r="K33" i="32"/>
  <c r="D32" i="32"/>
  <c r="F26" i="32"/>
  <c r="E7" i="32"/>
  <c r="H6" i="32"/>
  <c r="E6" i="32"/>
  <c r="E68" i="31"/>
  <c r="F60" i="31"/>
  <c r="D60" i="31"/>
  <c r="F59" i="31"/>
  <c r="F58" i="31"/>
  <c r="F57" i="31"/>
  <c r="D54" i="31"/>
  <c r="K36" i="31"/>
  <c r="D36" i="31"/>
  <c r="K35" i="31"/>
  <c r="K34" i="31"/>
  <c r="K33" i="31"/>
  <c r="D32" i="31"/>
  <c r="E7" i="31"/>
  <c r="H6" i="31"/>
  <c r="E6" i="31"/>
  <c r="B40" i="30"/>
  <c r="B53" i="30" s="1"/>
  <c r="D36" i="30"/>
  <c r="C36" i="30"/>
  <c r="B36" i="30"/>
  <c r="B38" i="30" s="1"/>
  <c r="B51" i="30" s="1"/>
  <c r="D35" i="30"/>
  <c r="C35" i="30"/>
  <c r="B35" i="30"/>
  <c r="D34" i="30"/>
  <c r="C34" i="30"/>
  <c r="B34" i="30"/>
  <c r="D33" i="30"/>
  <c r="C33" i="30"/>
  <c r="B33" i="30"/>
  <c r="D32" i="30"/>
  <c r="C32" i="30"/>
  <c r="B32" i="30"/>
  <c r="D31" i="30"/>
  <c r="C31" i="30"/>
  <c r="B31" i="30"/>
  <c r="D30" i="30"/>
  <c r="C30" i="30"/>
  <c r="B30" i="30"/>
  <c r="D29" i="30"/>
  <c r="C29" i="30"/>
  <c r="B29" i="30"/>
  <c r="D28" i="30"/>
  <c r="C28" i="30"/>
  <c r="B28" i="30"/>
  <c r="H60" i="34" l="1"/>
  <c r="H60" i="37"/>
  <c r="H60" i="38"/>
  <c r="H60" i="33"/>
  <c r="H62" i="35"/>
  <c r="H65" i="35"/>
  <c r="H36" i="38"/>
  <c r="J36" i="38" s="1"/>
  <c r="H60" i="40"/>
  <c r="H60" i="31"/>
  <c r="H60" i="36"/>
  <c r="I26" i="41"/>
  <c r="H36" i="34"/>
  <c r="J36" i="34" s="1"/>
  <c r="E36" i="34"/>
  <c r="F36" i="34" s="1"/>
  <c r="E34" i="34"/>
  <c r="I26" i="38"/>
  <c r="E35" i="32"/>
  <c r="E39" i="41"/>
  <c r="F39" i="41" s="1"/>
  <c r="E38" i="41"/>
  <c r="E35" i="35"/>
  <c r="D76" i="41"/>
  <c r="J26" i="39"/>
  <c r="G36" i="39"/>
  <c r="E36" i="39"/>
  <c r="F36" i="39" s="1"/>
  <c r="H59" i="39"/>
  <c r="E72" i="35"/>
  <c r="H33" i="35"/>
  <c r="J33" i="35" s="1"/>
  <c r="E34" i="35"/>
  <c r="E34" i="39"/>
  <c r="E34" i="40"/>
  <c r="E35" i="31"/>
  <c r="E35" i="39"/>
  <c r="E34" i="31"/>
  <c r="E34" i="36"/>
  <c r="E35" i="40"/>
  <c r="H36" i="40"/>
  <c r="J36" i="40" s="1"/>
  <c r="E66" i="40"/>
  <c r="E36" i="40"/>
  <c r="F36" i="40" s="1"/>
  <c r="E35" i="36"/>
  <c r="C26" i="41"/>
  <c r="D26" i="41"/>
  <c r="K26" i="34"/>
  <c r="F26" i="35"/>
  <c r="H26" i="36"/>
  <c r="I26" i="36" s="1"/>
  <c r="H24" i="33"/>
  <c r="I26" i="33" s="1"/>
  <c r="H24" i="35"/>
  <c r="J26" i="35" s="1"/>
  <c r="B39" i="30"/>
  <c r="B52" i="30" s="1"/>
  <c r="B37" i="30"/>
  <c r="B50" i="30" s="1"/>
  <c r="K26" i="40"/>
  <c r="F26" i="33"/>
  <c r="H24" i="31"/>
  <c r="I26" i="31" s="1"/>
  <c r="H26" i="35"/>
  <c r="H24" i="32"/>
  <c r="J26" i="32" s="1"/>
  <c r="H24" i="34"/>
  <c r="J26" i="38"/>
  <c r="H26" i="32"/>
  <c r="H26" i="34"/>
  <c r="E36" i="41"/>
  <c r="E37" i="41"/>
  <c r="E73" i="41"/>
  <c r="J26" i="41"/>
  <c r="H39" i="41"/>
  <c r="J39" i="41" s="1"/>
  <c r="G39" i="41"/>
  <c r="H24" i="40"/>
  <c r="H6" i="40"/>
  <c r="C26" i="40"/>
  <c r="D26" i="40"/>
  <c r="G36" i="40"/>
  <c r="H7" i="39"/>
  <c r="D26" i="39"/>
  <c r="G117" i="39" s="1"/>
  <c r="H26" i="39"/>
  <c r="I26" i="39" s="1"/>
  <c r="H36" i="39"/>
  <c r="J36" i="39" s="1"/>
  <c r="E67" i="34"/>
  <c r="D26" i="36"/>
  <c r="K26" i="36"/>
  <c r="J26" i="36" s="1"/>
  <c r="H24" i="37"/>
  <c r="C26" i="37"/>
  <c r="E34" i="37"/>
  <c r="E34" i="32"/>
  <c r="H36" i="31"/>
  <c r="J36" i="31" s="1"/>
  <c r="E36" i="31"/>
  <c r="F36" i="31" s="1"/>
  <c r="G36" i="35"/>
  <c r="H36" i="32"/>
  <c r="J36" i="32" s="1"/>
  <c r="H36" i="35"/>
  <c r="J36" i="35" s="1"/>
  <c r="E35" i="37"/>
  <c r="E36" i="32"/>
  <c r="F36" i="32" s="1"/>
  <c r="E34" i="33"/>
  <c r="E36" i="36"/>
  <c r="F36" i="36" s="1"/>
  <c r="E66" i="31"/>
  <c r="E71" i="35"/>
  <c r="E66" i="32"/>
  <c r="H36" i="36"/>
  <c r="J36" i="36" s="1"/>
  <c r="J32" i="32"/>
  <c r="H36" i="37"/>
  <c r="J36" i="37" s="1"/>
  <c r="E35" i="33"/>
  <c r="E36" i="37"/>
  <c r="F36" i="37" s="1"/>
  <c r="E34" i="38"/>
  <c r="G33" i="35"/>
  <c r="H36" i="33"/>
  <c r="J36" i="33" s="1"/>
  <c r="E35" i="38"/>
  <c r="F36" i="33"/>
  <c r="E35" i="34"/>
  <c r="D26" i="38"/>
  <c r="F36" i="38"/>
  <c r="C26" i="38"/>
  <c r="G36" i="38"/>
  <c r="H7" i="37"/>
  <c r="E66" i="37"/>
  <c r="H6" i="37"/>
  <c r="G36" i="37"/>
  <c r="H7" i="36"/>
  <c r="C26" i="36"/>
  <c r="H6" i="36"/>
  <c r="G36" i="36"/>
  <c r="H7" i="35"/>
  <c r="C26" i="35"/>
  <c r="E36" i="35"/>
  <c r="F36" i="35" s="1"/>
  <c r="D26" i="35"/>
  <c r="H6" i="34"/>
  <c r="G36" i="34"/>
  <c r="C26" i="34"/>
  <c r="D26" i="34"/>
  <c r="C26" i="33"/>
  <c r="D26" i="33"/>
  <c r="G36" i="33"/>
  <c r="H7" i="32"/>
  <c r="C26" i="32"/>
  <c r="D26" i="32"/>
  <c r="G36" i="32"/>
  <c r="H7" i="31"/>
  <c r="C26" i="31"/>
  <c r="G36" i="31"/>
  <c r="E7" i="4"/>
  <c r="D33" i="38" l="1"/>
  <c r="D33" i="39"/>
  <c r="F111" i="41"/>
  <c r="D57" i="36"/>
  <c r="H57" i="36" s="1"/>
  <c r="D33" i="36"/>
  <c r="D59" i="38"/>
  <c r="H59" i="38" s="1"/>
  <c r="D57" i="38"/>
  <c r="H57" i="38" s="1"/>
  <c r="D37" i="41"/>
  <c r="G37" i="41" s="1"/>
  <c r="D63" i="41"/>
  <c r="H63" i="41" s="1"/>
  <c r="D36" i="41"/>
  <c r="F36" i="41" s="1"/>
  <c r="D56" i="39"/>
  <c r="H56" i="39" s="1"/>
  <c r="D115" i="41"/>
  <c r="D112" i="41"/>
  <c r="K15" i="38"/>
  <c r="J11" i="38" s="1"/>
  <c r="K11" i="38" s="1"/>
  <c r="F116" i="41"/>
  <c r="J26" i="34"/>
  <c r="F112" i="41"/>
  <c r="D64" i="41"/>
  <c r="H64" i="41" s="1"/>
  <c r="I8" i="41"/>
  <c r="K32" i="41" s="1"/>
  <c r="G32" i="41" s="1"/>
  <c r="K21" i="41"/>
  <c r="J15" i="41" s="1"/>
  <c r="K15" i="41" s="1"/>
  <c r="G118" i="41"/>
  <c r="E110" i="41"/>
  <c r="E116" i="41"/>
  <c r="D65" i="41"/>
  <c r="H65" i="41" s="1"/>
  <c r="G111" i="41"/>
  <c r="G114" i="41"/>
  <c r="G112" i="41"/>
  <c r="G117" i="41"/>
  <c r="I7" i="41"/>
  <c r="K31" i="41" s="1"/>
  <c r="H31" i="41" s="1"/>
  <c r="K15" i="39"/>
  <c r="J11" i="39" s="1"/>
  <c r="K11" i="39" s="1"/>
  <c r="K15" i="32"/>
  <c r="J11" i="32" s="1"/>
  <c r="K11" i="32" s="1"/>
  <c r="K15" i="35"/>
  <c r="J11" i="35" s="1"/>
  <c r="K11" i="35" s="1"/>
  <c r="F116" i="37"/>
  <c r="K15" i="37"/>
  <c r="J11" i="37" s="1"/>
  <c r="K11" i="37" s="1"/>
  <c r="K15" i="36"/>
  <c r="J11" i="36" s="1"/>
  <c r="K11" i="36" s="1"/>
  <c r="K15" i="33"/>
  <c r="K15" i="34"/>
  <c r="J11" i="34" s="1"/>
  <c r="K11" i="34" s="1"/>
  <c r="K15" i="40"/>
  <c r="J11" i="40" s="1"/>
  <c r="K11" i="40" s="1"/>
  <c r="E33" i="35"/>
  <c r="F33" i="35" s="1"/>
  <c r="G110" i="41"/>
  <c r="D118" i="41"/>
  <c r="E114" i="41"/>
  <c r="G113" i="41"/>
  <c r="G116" i="41"/>
  <c r="D38" i="41"/>
  <c r="F38" i="41" s="1"/>
  <c r="D116" i="41"/>
  <c r="E115" i="41"/>
  <c r="I6" i="41"/>
  <c r="D113" i="41"/>
  <c r="K20" i="41"/>
  <c r="J14" i="41" s="1"/>
  <c r="K14" i="41" s="1"/>
  <c r="F110" i="41"/>
  <c r="E111" i="41"/>
  <c r="F113" i="41"/>
  <c r="E120" i="37"/>
  <c r="I26" i="35"/>
  <c r="D64" i="35" s="1"/>
  <c r="H64" i="35" s="1"/>
  <c r="J26" i="33"/>
  <c r="D113" i="39"/>
  <c r="E111" i="39"/>
  <c r="E112" i="41"/>
  <c r="J8" i="41"/>
  <c r="E117" i="41"/>
  <c r="F118" i="41"/>
  <c r="I9" i="41"/>
  <c r="E118" i="41"/>
  <c r="G115" i="41"/>
  <c r="F115" i="41"/>
  <c r="J6" i="39"/>
  <c r="E115" i="37"/>
  <c r="J7" i="41"/>
  <c r="D111" i="41"/>
  <c r="J6" i="41"/>
  <c r="I7" i="39"/>
  <c r="J9" i="41"/>
  <c r="D114" i="41"/>
  <c r="E113" i="41"/>
  <c r="D117" i="41"/>
  <c r="F114" i="41"/>
  <c r="J6" i="37"/>
  <c r="K19" i="41"/>
  <c r="J13" i="41" s="1"/>
  <c r="K13" i="41" s="1"/>
  <c r="D110" i="41"/>
  <c r="F117" i="41"/>
  <c r="D35" i="38"/>
  <c r="G35" i="38" s="1"/>
  <c r="E117" i="37"/>
  <c r="E119" i="37"/>
  <c r="E118" i="37"/>
  <c r="F112" i="37"/>
  <c r="D34" i="38"/>
  <c r="F34" i="38" s="1"/>
  <c r="D58" i="36"/>
  <c r="H58" i="36" s="1"/>
  <c r="E116" i="37"/>
  <c r="E113" i="37"/>
  <c r="E114" i="39"/>
  <c r="D118" i="39"/>
  <c r="F111" i="39"/>
  <c r="E115" i="39"/>
  <c r="G111" i="39"/>
  <c r="F112" i="39"/>
  <c r="D117" i="39"/>
  <c r="D114" i="39"/>
  <c r="E116" i="39"/>
  <c r="E117" i="39"/>
  <c r="F117" i="39"/>
  <c r="G113" i="39"/>
  <c r="D112" i="39"/>
  <c r="D115" i="39"/>
  <c r="G116" i="39"/>
  <c r="E112" i="39"/>
  <c r="E118" i="39"/>
  <c r="F118" i="39"/>
  <c r="F115" i="39"/>
  <c r="I6" i="39"/>
  <c r="E113" i="39"/>
  <c r="G112" i="39"/>
  <c r="F119" i="39"/>
  <c r="G35" i="33"/>
  <c r="I26" i="32"/>
  <c r="D33" i="32" s="1"/>
  <c r="E114" i="37"/>
  <c r="G119" i="37"/>
  <c r="F119" i="37"/>
  <c r="I26" i="34"/>
  <c r="F115" i="37"/>
  <c r="F118" i="37"/>
  <c r="I7" i="37"/>
  <c r="G115" i="37"/>
  <c r="G116" i="37"/>
  <c r="J7" i="37"/>
  <c r="D59" i="33"/>
  <c r="H59" i="33" s="1"/>
  <c r="D119" i="37"/>
  <c r="I6" i="37"/>
  <c r="K31" i="37" s="1"/>
  <c r="H31" i="37" s="1"/>
  <c r="G112" i="37"/>
  <c r="D120" i="37"/>
  <c r="G118" i="37"/>
  <c r="F120" i="37"/>
  <c r="G114" i="37"/>
  <c r="F117" i="37"/>
  <c r="G113" i="37"/>
  <c r="G117" i="37"/>
  <c r="D58" i="38"/>
  <c r="H58" i="38" s="1"/>
  <c r="D59" i="36"/>
  <c r="H59" i="36" s="1"/>
  <c r="F114" i="37"/>
  <c r="E112" i="37"/>
  <c r="G120" i="37"/>
  <c r="D116" i="39"/>
  <c r="E119" i="39"/>
  <c r="G119" i="39"/>
  <c r="D119" i="39"/>
  <c r="F113" i="39"/>
  <c r="D111" i="39"/>
  <c r="F116" i="39"/>
  <c r="G120" i="40"/>
  <c r="G117" i="40"/>
  <c r="G114" i="40"/>
  <c r="F120" i="40"/>
  <c r="F117" i="40"/>
  <c r="F114" i="40"/>
  <c r="D117" i="40"/>
  <c r="F116" i="40"/>
  <c r="E115" i="40"/>
  <c r="D115" i="40"/>
  <c r="E120" i="40"/>
  <c r="E117" i="40"/>
  <c r="E114" i="40"/>
  <c r="D120" i="40"/>
  <c r="D114" i="40"/>
  <c r="J6" i="40"/>
  <c r="G119" i="40"/>
  <c r="G116" i="40"/>
  <c r="G113" i="40"/>
  <c r="I6" i="40"/>
  <c r="F119" i="40"/>
  <c r="F113" i="40"/>
  <c r="E119" i="40"/>
  <c r="E116" i="40"/>
  <c r="E113" i="40"/>
  <c r="I7" i="40"/>
  <c r="E118" i="40"/>
  <c r="D118" i="40"/>
  <c r="D119" i="40"/>
  <c r="D116" i="40"/>
  <c r="D113" i="40"/>
  <c r="G118" i="40"/>
  <c r="G115" i="40"/>
  <c r="G112" i="40"/>
  <c r="J7" i="40"/>
  <c r="F118" i="40"/>
  <c r="F115" i="40"/>
  <c r="F112" i="40"/>
  <c r="E112" i="40"/>
  <c r="D112" i="40"/>
  <c r="I26" i="40"/>
  <c r="J26" i="40"/>
  <c r="D35" i="39"/>
  <c r="D58" i="39"/>
  <c r="H58" i="39" s="1"/>
  <c r="D57" i="39"/>
  <c r="H57" i="39" s="1"/>
  <c r="D34" i="39"/>
  <c r="J7" i="39"/>
  <c r="G115" i="39"/>
  <c r="F114" i="39"/>
  <c r="G118" i="39"/>
  <c r="G114" i="39"/>
  <c r="D35" i="36"/>
  <c r="F35" i="36" s="1"/>
  <c r="G34" i="36"/>
  <c r="I26" i="37"/>
  <c r="J26" i="37"/>
  <c r="D33" i="37" s="1"/>
  <c r="D114" i="37"/>
  <c r="D113" i="37"/>
  <c r="D112" i="37"/>
  <c r="F113" i="37"/>
  <c r="D117" i="37"/>
  <c r="D116" i="37"/>
  <c r="D118" i="37"/>
  <c r="D115" i="37"/>
  <c r="G120" i="38"/>
  <c r="G117" i="38"/>
  <c r="G114" i="38"/>
  <c r="F119" i="38"/>
  <c r="E119" i="38"/>
  <c r="D119" i="38"/>
  <c r="I7" i="38"/>
  <c r="G118" i="38"/>
  <c r="F118" i="38"/>
  <c r="E118" i="38"/>
  <c r="D112" i="38"/>
  <c r="F120" i="38"/>
  <c r="F117" i="38"/>
  <c r="F114" i="38"/>
  <c r="J6" i="38"/>
  <c r="G119" i="38"/>
  <c r="G116" i="38"/>
  <c r="G113" i="38"/>
  <c r="E116" i="38"/>
  <c r="J7" i="38"/>
  <c r="D116" i="38"/>
  <c r="F115" i="38"/>
  <c r="E112" i="38"/>
  <c r="E120" i="38"/>
  <c r="E117" i="38"/>
  <c r="E114" i="38"/>
  <c r="I6" i="38"/>
  <c r="F116" i="38"/>
  <c r="E113" i="38"/>
  <c r="D113" i="38"/>
  <c r="G112" i="38"/>
  <c r="E115" i="38"/>
  <c r="D118" i="38"/>
  <c r="D120" i="38"/>
  <c r="D117" i="38"/>
  <c r="D114" i="38"/>
  <c r="F113" i="38"/>
  <c r="G115" i="38"/>
  <c r="F112" i="38"/>
  <c r="D115" i="38"/>
  <c r="J35" i="38"/>
  <c r="J34" i="38"/>
  <c r="G120" i="36"/>
  <c r="G117" i="36"/>
  <c r="G114" i="36"/>
  <c r="D115" i="36"/>
  <c r="F120" i="36"/>
  <c r="F117" i="36"/>
  <c r="F114" i="36"/>
  <c r="J6" i="36"/>
  <c r="F115" i="36"/>
  <c r="E118" i="36"/>
  <c r="E112" i="36"/>
  <c r="E120" i="36"/>
  <c r="E117" i="36"/>
  <c r="E114" i="36"/>
  <c r="I6" i="36"/>
  <c r="D120" i="36"/>
  <c r="D117" i="36"/>
  <c r="D114" i="36"/>
  <c r="G119" i="36"/>
  <c r="G116" i="36"/>
  <c r="G113" i="36"/>
  <c r="F119" i="36"/>
  <c r="F116" i="36"/>
  <c r="F113" i="36"/>
  <c r="E115" i="36"/>
  <c r="D118" i="36"/>
  <c r="E119" i="36"/>
  <c r="E116" i="36"/>
  <c r="E113" i="36"/>
  <c r="J7" i="36"/>
  <c r="D119" i="36"/>
  <c r="D116" i="36"/>
  <c r="D113" i="36"/>
  <c r="I7" i="36"/>
  <c r="G118" i="36"/>
  <c r="G115" i="36"/>
  <c r="G112" i="36"/>
  <c r="F118" i="36"/>
  <c r="F112" i="36"/>
  <c r="D112" i="36"/>
  <c r="G125" i="35"/>
  <c r="G122" i="35"/>
  <c r="G119" i="35"/>
  <c r="E124" i="35"/>
  <c r="J7" i="35"/>
  <c r="F120" i="35"/>
  <c r="D123" i="35"/>
  <c r="F125" i="35"/>
  <c r="F122" i="35"/>
  <c r="F119" i="35"/>
  <c r="J6" i="35"/>
  <c r="E118" i="35"/>
  <c r="E120" i="35"/>
  <c r="D120" i="35"/>
  <c r="E125" i="35"/>
  <c r="E122" i="35"/>
  <c r="E119" i="35"/>
  <c r="I6" i="35"/>
  <c r="D125" i="35"/>
  <c r="D122" i="35"/>
  <c r="D119" i="35"/>
  <c r="G124" i="35"/>
  <c r="G121" i="35"/>
  <c r="G118" i="35"/>
  <c r="F124" i="35"/>
  <c r="F121" i="35"/>
  <c r="F118" i="35"/>
  <c r="E121" i="35"/>
  <c r="E123" i="35"/>
  <c r="D124" i="35"/>
  <c r="D121" i="35"/>
  <c r="D118" i="35"/>
  <c r="I7" i="35"/>
  <c r="G123" i="35"/>
  <c r="G120" i="35"/>
  <c r="G117" i="35"/>
  <c r="F123" i="35"/>
  <c r="F117" i="35"/>
  <c r="E117" i="35"/>
  <c r="D117" i="35"/>
  <c r="G120" i="34"/>
  <c r="G117" i="34"/>
  <c r="G114" i="34"/>
  <c r="F120" i="34"/>
  <c r="F117" i="34"/>
  <c r="F114" i="34"/>
  <c r="J6" i="34"/>
  <c r="D120" i="34"/>
  <c r="D117" i="34"/>
  <c r="D114" i="34"/>
  <c r="G119" i="34"/>
  <c r="G113" i="34"/>
  <c r="F119" i="34"/>
  <c r="J7" i="34"/>
  <c r="D116" i="34"/>
  <c r="I7" i="34"/>
  <c r="G118" i="34"/>
  <c r="G112" i="34"/>
  <c r="F118" i="34"/>
  <c r="E118" i="34"/>
  <c r="D112" i="34"/>
  <c r="E120" i="34"/>
  <c r="E117" i="34"/>
  <c r="E114" i="34"/>
  <c r="I6" i="34"/>
  <c r="G116" i="34"/>
  <c r="F116" i="34"/>
  <c r="F113" i="34"/>
  <c r="E119" i="34"/>
  <c r="E116" i="34"/>
  <c r="E113" i="34"/>
  <c r="D113" i="34"/>
  <c r="G115" i="34"/>
  <c r="F112" i="34"/>
  <c r="E112" i="34"/>
  <c r="D115" i="34"/>
  <c r="D119" i="34"/>
  <c r="F115" i="34"/>
  <c r="E115" i="34"/>
  <c r="D118" i="34"/>
  <c r="G120" i="33"/>
  <c r="G117" i="33"/>
  <c r="G114" i="33"/>
  <c r="F120" i="33"/>
  <c r="F117" i="33"/>
  <c r="F114" i="33"/>
  <c r="J6" i="33"/>
  <c r="E120" i="33"/>
  <c r="E117" i="33"/>
  <c r="E114" i="33"/>
  <c r="I6" i="33"/>
  <c r="E119" i="33"/>
  <c r="E116" i="33"/>
  <c r="E113" i="33"/>
  <c r="J7" i="33"/>
  <c r="F118" i="33"/>
  <c r="E112" i="33"/>
  <c r="D118" i="33"/>
  <c r="D120" i="33"/>
  <c r="D117" i="33"/>
  <c r="D114" i="33"/>
  <c r="G119" i="33"/>
  <c r="G116" i="33"/>
  <c r="G113" i="33"/>
  <c r="F119" i="33"/>
  <c r="F116" i="33"/>
  <c r="F113" i="33"/>
  <c r="F112" i="33"/>
  <c r="E118" i="33"/>
  <c r="E115" i="33"/>
  <c r="D115" i="33"/>
  <c r="D119" i="33"/>
  <c r="D116" i="33"/>
  <c r="D113" i="33"/>
  <c r="I7" i="33"/>
  <c r="G118" i="33"/>
  <c r="G115" i="33"/>
  <c r="G112" i="33"/>
  <c r="F115" i="33"/>
  <c r="D112" i="33"/>
  <c r="J34" i="32"/>
  <c r="G120" i="32"/>
  <c r="G117" i="32"/>
  <c r="G114" i="32"/>
  <c r="F120" i="32"/>
  <c r="F117" i="32"/>
  <c r="F114" i="32"/>
  <c r="J6" i="32"/>
  <c r="E120" i="32"/>
  <c r="E117" i="32"/>
  <c r="E114" i="32"/>
  <c r="I6" i="32"/>
  <c r="D120" i="32"/>
  <c r="D117" i="32"/>
  <c r="D114" i="32"/>
  <c r="F119" i="32"/>
  <c r="F116" i="32"/>
  <c r="F113" i="32"/>
  <c r="J7" i="32"/>
  <c r="E118" i="32"/>
  <c r="D112" i="32"/>
  <c r="D115" i="32"/>
  <c r="G119" i="32"/>
  <c r="G116" i="32"/>
  <c r="G113" i="32"/>
  <c r="E119" i="32"/>
  <c r="E116" i="32"/>
  <c r="E113" i="32"/>
  <c r="E115" i="32"/>
  <c r="D118" i="32"/>
  <c r="D119" i="32"/>
  <c r="D116" i="32"/>
  <c r="D113" i="32"/>
  <c r="I7" i="32"/>
  <c r="G118" i="32"/>
  <c r="G115" i="32"/>
  <c r="G112" i="32"/>
  <c r="F118" i="32"/>
  <c r="F115" i="32"/>
  <c r="F112" i="32"/>
  <c r="E112" i="32"/>
  <c r="J35" i="32"/>
  <c r="D33" i="34" l="1"/>
  <c r="J11" i="33"/>
  <c r="K11" i="33" s="1"/>
  <c r="D57" i="32"/>
  <c r="H57" i="32" s="1"/>
  <c r="D33" i="40"/>
  <c r="D57" i="40"/>
  <c r="H57" i="40" s="1"/>
  <c r="G33" i="36"/>
  <c r="H33" i="36"/>
  <c r="J33" i="36" s="1"/>
  <c r="H37" i="41"/>
  <c r="J37" i="41" s="1"/>
  <c r="H36" i="41"/>
  <c r="J36" i="41" s="1"/>
  <c r="G36" i="41"/>
  <c r="D57" i="37"/>
  <c r="H57" i="37" s="1"/>
  <c r="F34" i="33"/>
  <c r="D57" i="33"/>
  <c r="H57" i="33" s="1"/>
  <c r="F37" i="41"/>
  <c r="J33" i="38"/>
  <c r="G33" i="38"/>
  <c r="J33" i="32"/>
  <c r="G33" i="32"/>
  <c r="D57" i="34"/>
  <c r="H57" i="34" s="1"/>
  <c r="G33" i="39"/>
  <c r="H33" i="39"/>
  <c r="J33" i="39" s="1"/>
  <c r="D59" i="34"/>
  <c r="H59" i="34" s="1"/>
  <c r="E60" i="41"/>
  <c r="H32" i="41"/>
  <c r="J32" i="41" s="1"/>
  <c r="G31" i="41"/>
  <c r="E59" i="41"/>
  <c r="K8" i="41"/>
  <c r="G38" i="41"/>
  <c r="F46" i="34"/>
  <c r="D58" i="33"/>
  <c r="H58" i="33" s="1"/>
  <c r="F46" i="37"/>
  <c r="F49" i="41"/>
  <c r="F46" i="39"/>
  <c r="F51" i="35"/>
  <c r="K6" i="41"/>
  <c r="F54" i="33"/>
  <c r="K32" i="33"/>
  <c r="F54" i="32"/>
  <c r="K32" i="32"/>
  <c r="K7" i="40"/>
  <c r="F46" i="40"/>
  <c r="F54" i="36"/>
  <c r="K32" i="36"/>
  <c r="F54" i="40"/>
  <c r="K32" i="40"/>
  <c r="K7" i="32"/>
  <c r="F46" i="32"/>
  <c r="F54" i="34"/>
  <c r="K32" i="34"/>
  <c r="E54" i="36"/>
  <c r="K31" i="36"/>
  <c r="F46" i="33"/>
  <c r="E54" i="33"/>
  <c r="K31" i="33"/>
  <c r="E54" i="40"/>
  <c r="K31" i="40"/>
  <c r="E54" i="32"/>
  <c r="K31" i="32"/>
  <c r="G31" i="32" s="1"/>
  <c r="E31" i="32" s="1"/>
  <c r="K7" i="38"/>
  <c r="F46" i="38"/>
  <c r="E54" i="34"/>
  <c r="K31" i="34"/>
  <c r="F46" i="36"/>
  <c r="F54" i="38"/>
  <c r="K32" i="38"/>
  <c r="E54" i="38"/>
  <c r="K31" i="38"/>
  <c r="G31" i="38" s="1"/>
  <c r="G31" i="37"/>
  <c r="F54" i="37"/>
  <c r="K32" i="37"/>
  <c r="F35" i="35"/>
  <c r="F59" i="35"/>
  <c r="K32" i="35"/>
  <c r="D63" i="35"/>
  <c r="H63" i="35" s="1"/>
  <c r="E59" i="35"/>
  <c r="K31" i="35"/>
  <c r="H38" i="41"/>
  <c r="J38" i="41" s="1"/>
  <c r="E76" i="41"/>
  <c r="D49" i="41"/>
  <c r="E49" i="41"/>
  <c r="F76" i="41"/>
  <c r="K35" i="41"/>
  <c r="F60" i="41"/>
  <c r="K7" i="41"/>
  <c r="K34" i="41"/>
  <c r="F59" i="41"/>
  <c r="K30" i="41"/>
  <c r="E58" i="41"/>
  <c r="K33" i="41"/>
  <c r="F58" i="41"/>
  <c r="K6" i="39"/>
  <c r="K32" i="39"/>
  <c r="F53" i="39"/>
  <c r="K7" i="39"/>
  <c r="K31" i="39"/>
  <c r="E53" i="39"/>
  <c r="F35" i="38"/>
  <c r="F35" i="33"/>
  <c r="K6" i="37"/>
  <c r="E54" i="37"/>
  <c r="K9" i="41"/>
  <c r="H35" i="33"/>
  <c r="J35" i="33" s="1"/>
  <c r="G34" i="38"/>
  <c r="K7" i="37"/>
  <c r="K6" i="38"/>
  <c r="K6" i="40"/>
  <c r="H34" i="36"/>
  <c r="J34" i="36" s="1"/>
  <c r="D35" i="34"/>
  <c r="D58" i="34"/>
  <c r="H58" i="34" s="1"/>
  <c r="H35" i="36"/>
  <c r="J35" i="36" s="1"/>
  <c r="H34" i="35"/>
  <c r="J34" i="35" s="1"/>
  <c r="G34" i="35"/>
  <c r="F34" i="35"/>
  <c r="F34" i="36"/>
  <c r="G35" i="36"/>
  <c r="D35" i="32"/>
  <c r="D59" i="32"/>
  <c r="H59" i="32" s="1"/>
  <c r="D58" i="32"/>
  <c r="H58" i="32" s="1"/>
  <c r="D34" i="32"/>
  <c r="D34" i="34"/>
  <c r="J31" i="41"/>
  <c r="D58" i="40"/>
  <c r="H58" i="40" s="1"/>
  <c r="D34" i="40"/>
  <c r="D35" i="40"/>
  <c r="D59" i="40"/>
  <c r="H59" i="40" s="1"/>
  <c r="H35" i="39"/>
  <c r="J35" i="39" s="1"/>
  <c r="G35" i="39"/>
  <c r="F35" i="39"/>
  <c r="F34" i="39"/>
  <c r="H34" i="39"/>
  <c r="J34" i="39" s="1"/>
  <c r="G34" i="39"/>
  <c r="K7" i="36"/>
  <c r="D58" i="37"/>
  <c r="H58" i="37" s="1"/>
  <c r="D59" i="37"/>
  <c r="H59" i="37" s="1"/>
  <c r="D35" i="37"/>
  <c r="K6" i="34"/>
  <c r="K6" i="32"/>
  <c r="K7" i="35"/>
  <c r="J31" i="38"/>
  <c r="J31" i="37"/>
  <c r="K6" i="36"/>
  <c r="K6" i="35"/>
  <c r="K7" i="34"/>
  <c r="J31" i="32"/>
  <c r="E32" i="41" l="1"/>
  <c r="F32" i="41" s="1"/>
  <c r="E33" i="38"/>
  <c r="F33" i="38" s="1"/>
  <c r="E33" i="36"/>
  <c r="F33" i="36" s="1"/>
  <c r="H33" i="40"/>
  <c r="J33" i="40" s="1"/>
  <c r="G33" i="40"/>
  <c r="H34" i="33"/>
  <c r="J34" i="33" s="1"/>
  <c r="E33" i="32"/>
  <c r="F33" i="32" s="1"/>
  <c r="H44" i="38"/>
  <c r="D68" i="38"/>
  <c r="H68" i="38" s="1"/>
  <c r="G33" i="33"/>
  <c r="H33" i="33"/>
  <c r="J33" i="33" s="1"/>
  <c r="J44" i="32"/>
  <c r="H44" i="32"/>
  <c r="D68" i="32"/>
  <c r="H68" i="32" s="1"/>
  <c r="G33" i="37"/>
  <c r="H33" i="37"/>
  <c r="J33" i="37" s="1"/>
  <c r="G34" i="33"/>
  <c r="E33" i="39"/>
  <c r="F33" i="39" s="1"/>
  <c r="H33" i="34"/>
  <c r="J33" i="34" s="1"/>
  <c r="G33" i="34"/>
  <c r="H54" i="38"/>
  <c r="J51" i="38" s="1"/>
  <c r="C12" i="38" s="1"/>
  <c r="C18" i="38" s="1"/>
  <c r="H54" i="32"/>
  <c r="J51" i="32" s="1"/>
  <c r="C12" i="32" s="1"/>
  <c r="C17" i="32" s="1"/>
  <c r="H54" i="34"/>
  <c r="D66" i="34" s="1"/>
  <c r="M31" i="34" s="1"/>
  <c r="O31" i="34" s="1"/>
  <c r="G54" i="32"/>
  <c r="G54" i="36"/>
  <c r="G54" i="33"/>
  <c r="H54" i="40"/>
  <c r="D66" i="40" s="1"/>
  <c r="G59" i="35"/>
  <c r="H58" i="41"/>
  <c r="H54" i="36"/>
  <c r="D66" i="36" s="1"/>
  <c r="M31" i="36" s="1"/>
  <c r="O31" i="36" s="1"/>
  <c r="G54" i="40"/>
  <c r="G31" i="40"/>
  <c r="H31" i="40"/>
  <c r="J31" i="40" s="1"/>
  <c r="H32" i="40"/>
  <c r="J32" i="40" s="1"/>
  <c r="G32" i="40"/>
  <c r="H32" i="36"/>
  <c r="J32" i="36" s="1"/>
  <c r="G32" i="36"/>
  <c r="G31" i="33"/>
  <c r="H31" i="33"/>
  <c r="J31" i="33" s="1"/>
  <c r="H54" i="33"/>
  <c r="H31" i="36"/>
  <c r="J31" i="36" s="1"/>
  <c r="G31" i="36"/>
  <c r="G32" i="32"/>
  <c r="E32" i="32" s="1"/>
  <c r="F32" i="32" s="1"/>
  <c r="H31" i="34"/>
  <c r="J31" i="34" s="1"/>
  <c r="G31" i="34"/>
  <c r="G54" i="34"/>
  <c r="H32" i="34"/>
  <c r="J32" i="34" s="1"/>
  <c r="G32" i="34"/>
  <c r="H32" i="33"/>
  <c r="J32" i="33" s="1"/>
  <c r="G32" i="33"/>
  <c r="G54" i="38"/>
  <c r="G32" i="38"/>
  <c r="G44" i="38" s="1"/>
  <c r="H76" i="41"/>
  <c r="H32" i="37"/>
  <c r="J32" i="37" s="1"/>
  <c r="G32" i="37"/>
  <c r="G35" i="35"/>
  <c r="H35" i="35"/>
  <c r="J35" i="35" s="1"/>
  <c r="H31" i="35"/>
  <c r="J31" i="35" s="1"/>
  <c r="G31" i="35"/>
  <c r="H59" i="35"/>
  <c r="G32" i="35"/>
  <c r="H32" i="35"/>
  <c r="J32" i="35" s="1"/>
  <c r="G30" i="41"/>
  <c r="H30" i="41"/>
  <c r="H59" i="41"/>
  <c r="G59" i="41"/>
  <c r="H34" i="41"/>
  <c r="J34" i="41" s="1"/>
  <c r="G34" i="41"/>
  <c r="H33" i="41"/>
  <c r="J33" i="41" s="1"/>
  <c r="G33" i="41"/>
  <c r="G60" i="41"/>
  <c r="H60" i="41"/>
  <c r="H35" i="41"/>
  <c r="J35" i="41" s="1"/>
  <c r="G35" i="41"/>
  <c r="G58" i="41"/>
  <c r="H53" i="39"/>
  <c r="G53" i="39"/>
  <c r="H31" i="39"/>
  <c r="J31" i="39" s="1"/>
  <c r="G31" i="39"/>
  <c r="G32" i="39"/>
  <c r="H32" i="39"/>
  <c r="J32" i="39" s="1"/>
  <c r="H54" i="37"/>
  <c r="D66" i="37" s="1"/>
  <c r="G54" i="37"/>
  <c r="G35" i="32"/>
  <c r="F35" i="32"/>
  <c r="H34" i="34"/>
  <c r="F34" i="34"/>
  <c r="G34" i="34"/>
  <c r="G34" i="32"/>
  <c r="F34" i="32"/>
  <c r="H35" i="34"/>
  <c r="J35" i="34" s="1"/>
  <c r="G35" i="34"/>
  <c r="F35" i="34"/>
  <c r="E31" i="41"/>
  <c r="F31" i="41" s="1"/>
  <c r="H34" i="40"/>
  <c r="G34" i="40"/>
  <c r="F34" i="40"/>
  <c r="F35" i="40"/>
  <c r="G35" i="40"/>
  <c r="H35" i="40"/>
  <c r="J35" i="40" s="1"/>
  <c r="F35" i="37"/>
  <c r="H35" i="37"/>
  <c r="J35" i="37" s="1"/>
  <c r="G35" i="37"/>
  <c r="H34" i="37"/>
  <c r="G34" i="37"/>
  <c r="F34" i="37"/>
  <c r="E31" i="37"/>
  <c r="F31" i="37" s="1"/>
  <c r="J44" i="38"/>
  <c r="E31" i="38"/>
  <c r="F31" i="32"/>
  <c r="D66" i="38" l="1"/>
  <c r="D67" i="38" s="1"/>
  <c r="H67" i="38" s="1"/>
  <c r="E33" i="40"/>
  <c r="F33" i="40" s="1"/>
  <c r="E33" i="41"/>
  <c r="F33" i="41" s="1"/>
  <c r="E33" i="37"/>
  <c r="F33" i="37" s="1"/>
  <c r="E33" i="34"/>
  <c r="F33" i="34" s="1"/>
  <c r="C16" i="38"/>
  <c r="C15" i="38"/>
  <c r="D66" i="32"/>
  <c r="M31" i="32" s="1"/>
  <c r="O31" i="32" s="1"/>
  <c r="C17" i="38"/>
  <c r="E33" i="33"/>
  <c r="F33" i="33" s="1"/>
  <c r="E32" i="39"/>
  <c r="F32" i="39" s="1"/>
  <c r="J51" i="34"/>
  <c r="C12" i="34" s="1"/>
  <c r="C17" i="34" s="1"/>
  <c r="E32" i="38"/>
  <c r="F32" i="38" s="1"/>
  <c r="E32" i="40"/>
  <c r="F32" i="40" s="1"/>
  <c r="E31" i="40"/>
  <c r="F31" i="40" s="1"/>
  <c r="H66" i="36"/>
  <c r="J51" i="36"/>
  <c r="C12" i="36" s="1"/>
  <c r="C17" i="36" s="1"/>
  <c r="G44" i="39"/>
  <c r="E31" i="34"/>
  <c r="F31" i="34" s="1"/>
  <c r="M32" i="36"/>
  <c r="O32" i="36" s="1"/>
  <c r="E31" i="35"/>
  <c r="F31" i="35" s="1"/>
  <c r="E32" i="34"/>
  <c r="F32" i="34" s="1"/>
  <c r="G44" i="36"/>
  <c r="D67" i="36"/>
  <c r="H67" i="36" s="1"/>
  <c r="J51" i="40"/>
  <c r="C12" i="40" s="1"/>
  <c r="C15" i="40" s="1"/>
  <c r="E32" i="36"/>
  <c r="F32" i="36" s="1"/>
  <c r="J44" i="36"/>
  <c r="E35" i="41"/>
  <c r="F35" i="41" s="1"/>
  <c r="E31" i="36"/>
  <c r="F31" i="36" s="1"/>
  <c r="D68" i="36"/>
  <c r="H68" i="36" s="1"/>
  <c r="E32" i="33"/>
  <c r="F32" i="33" s="1"/>
  <c r="G44" i="33"/>
  <c r="J44" i="33"/>
  <c r="H44" i="36"/>
  <c r="H44" i="33"/>
  <c r="E31" i="33"/>
  <c r="F31" i="33" s="1"/>
  <c r="D68" i="33"/>
  <c r="H68" i="33" s="1"/>
  <c r="J51" i="33"/>
  <c r="C12" i="33" s="1"/>
  <c r="D66" i="33"/>
  <c r="F31" i="38"/>
  <c r="E32" i="37"/>
  <c r="F32" i="37" s="1"/>
  <c r="G49" i="35"/>
  <c r="H49" i="35"/>
  <c r="J49" i="35"/>
  <c r="D73" i="35"/>
  <c r="H73" i="35" s="1"/>
  <c r="E32" i="35"/>
  <c r="F32" i="35" s="1"/>
  <c r="J56" i="35"/>
  <c r="C12" i="35" s="1"/>
  <c r="D71" i="35"/>
  <c r="D72" i="41"/>
  <c r="M30" i="41" s="1"/>
  <c r="O30" i="41" s="1"/>
  <c r="E34" i="41"/>
  <c r="F34" i="41" s="1"/>
  <c r="J30" i="41"/>
  <c r="J47" i="41" s="1"/>
  <c r="H47" i="41"/>
  <c r="G47" i="41"/>
  <c r="J57" i="41"/>
  <c r="C14" i="41" s="1"/>
  <c r="J44" i="39"/>
  <c r="E31" i="39"/>
  <c r="F31" i="39" s="1"/>
  <c r="D67" i="39"/>
  <c r="H67" i="39" s="1"/>
  <c r="H44" i="39"/>
  <c r="J51" i="39"/>
  <c r="C12" i="39" s="1"/>
  <c r="D65" i="39"/>
  <c r="D67" i="34"/>
  <c r="H67" i="34" s="1"/>
  <c r="H66" i="34"/>
  <c r="C15" i="32"/>
  <c r="C18" i="32"/>
  <c r="J51" i="37"/>
  <c r="C12" i="37" s="1"/>
  <c r="C17" i="37" s="1"/>
  <c r="C16" i="32"/>
  <c r="G44" i="37"/>
  <c r="M32" i="34"/>
  <c r="O32" i="34" s="1"/>
  <c r="F44" i="32"/>
  <c r="O44" i="32" s="1"/>
  <c r="G44" i="32"/>
  <c r="G44" i="34"/>
  <c r="J34" i="34"/>
  <c r="J44" i="34" s="1"/>
  <c r="H44" i="34"/>
  <c r="D68" i="34"/>
  <c r="H68" i="34" s="1"/>
  <c r="G44" i="40"/>
  <c r="J34" i="40"/>
  <c r="J44" i="40" s="1"/>
  <c r="H44" i="40"/>
  <c r="D68" i="40"/>
  <c r="H68" i="40" s="1"/>
  <c r="M31" i="40"/>
  <c r="D67" i="40"/>
  <c r="H67" i="40" s="1"/>
  <c r="H66" i="40"/>
  <c r="J34" i="37"/>
  <c r="J44" i="37" s="1"/>
  <c r="D68" i="37"/>
  <c r="H68" i="37" s="1"/>
  <c r="H44" i="37"/>
  <c r="M31" i="37"/>
  <c r="D67" i="37"/>
  <c r="H67" i="37" s="1"/>
  <c r="H66" i="37"/>
  <c r="D57" i="20"/>
  <c r="D56" i="20"/>
  <c r="D55" i="20"/>
  <c r="F42" i="39" l="1"/>
  <c r="F44" i="39" s="1"/>
  <c r="O44" i="39" s="1"/>
  <c r="F44" i="38"/>
  <c r="O44" i="38" s="1"/>
  <c r="E30" i="41"/>
  <c r="F30" i="41" s="1"/>
  <c r="F45" i="41" s="1"/>
  <c r="F44" i="37"/>
  <c r="O44" i="37" s="1"/>
  <c r="H66" i="38"/>
  <c r="L51" i="38" s="1"/>
  <c r="C19" i="38" s="1"/>
  <c r="C20" i="38" s="1"/>
  <c r="M31" i="38"/>
  <c r="O31" i="38" s="1"/>
  <c r="F42" i="34"/>
  <c r="F44" i="34" s="1"/>
  <c r="O44" i="34" s="1"/>
  <c r="C15" i="34"/>
  <c r="C16" i="34"/>
  <c r="M32" i="32"/>
  <c r="O32" i="32" s="1"/>
  <c r="H66" i="32"/>
  <c r="D67" i="32"/>
  <c r="H67" i="32" s="1"/>
  <c r="C18" i="34"/>
  <c r="D73" i="41"/>
  <c r="H73" i="41" s="1"/>
  <c r="C18" i="36"/>
  <c r="F44" i="40"/>
  <c r="O44" i="40" s="1"/>
  <c r="H72" i="41"/>
  <c r="C16" i="36"/>
  <c r="F41" i="35"/>
  <c r="C15" i="36"/>
  <c r="C16" i="40"/>
  <c r="C17" i="40"/>
  <c r="D74" i="41"/>
  <c r="H74" i="41" s="1"/>
  <c r="L51" i="36"/>
  <c r="C19" i="36" s="1"/>
  <c r="C18" i="40"/>
  <c r="F44" i="36"/>
  <c r="O44" i="36" s="1"/>
  <c r="H52" i="36"/>
  <c r="M31" i="41"/>
  <c r="O31" i="41" s="1"/>
  <c r="C18" i="37"/>
  <c r="F38" i="35"/>
  <c r="F39" i="35"/>
  <c r="F40" i="35"/>
  <c r="F44" i="33"/>
  <c r="O44" i="33" s="1"/>
  <c r="H66" i="33"/>
  <c r="D67" i="33"/>
  <c r="H67" i="33" s="1"/>
  <c r="M31" i="33"/>
  <c r="L51" i="34"/>
  <c r="C19" i="34" s="1"/>
  <c r="C17" i="33"/>
  <c r="C16" i="33"/>
  <c r="C18" i="33"/>
  <c r="C15" i="33"/>
  <c r="C15" i="37"/>
  <c r="C16" i="37"/>
  <c r="D72" i="35"/>
  <c r="H72" i="35" s="1"/>
  <c r="M31" i="35"/>
  <c r="H71" i="35"/>
  <c r="C16" i="35"/>
  <c r="C17" i="35"/>
  <c r="C18" i="35"/>
  <c r="C15" i="35"/>
  <c r="C17" i="41"/>
  <c r="C20" i="41"/>
  <c r="C19" i="41"/>
  <c r="C18" i="41"/>
  <c r="M31" i="39"/>
  <c r="D66" i="39"/>
  <c r="H66" i="39" s="1"/>
  <c r="H65" i="39"/>
  <c r="C17" i="39"/>
  <c r="C16" i="39"/>
  <c r="C18" i="39"/>
  <c r="C15" i="39"/>
  <c r="H52" i="34"/>
  <c r="L51" i="40"/>
  <c r="C19" i="40" s="1"/>
  <c r="H52" i="40"/>
  <c r="O31" i="40"/>
  <c r="M32" i="40"/>
  <c r="O32" i="40" s="1"/>
  <c r="L51" i="37"/>
  <c r="C19" i="37" s="1"/>
  <c r="H52" i="37"/>
  <c r="M32" i="37"/>
  <c r="O32" i="37" s="1"/>
  <c r="O31" i="37"/>
  <c r="M32" i="38" l="1"/>
  <c r="O32" i="38" s="1"/>
  <c r="H52" i="38"/>
  <c r="L51" i="32"/>
  <c r="C19" i="32" s="1"/>
  <c r="C20" i="32" s="1"/>
  <c r="H52" i="32"/>
  <c r="C20" i="34"/>
  <c r="H56" i="41"/>
  <c r="C20" i="36"/>
  <c r="K57" i="41"/>
  <c r="C21" i="41" s="1"/>
  <c r="C22" i="41" s="1"/>
  <c r="C20" i="40"/>
  <c r="F47" i="41"/>
  <c r="O47" i="41" s="1"/>
  <c r="O31" i="33"/>
  <c r="M32" i="33"/>
  <c r="O32" i="33" s="1"/>
  <c r="L51" i="33"/>
  <c r="C19" i="33" s="1"/>
  <c r="C20" i="33" s="1"/>
  <c r="H52" i="33"/>
  <c r="C20" i="37"/>
  <c r="F49" i="35"/>
  <c r="O49" i="35" s="1"/>
  <c r="O31" i="35"/>
  <c r="M32" i="35"/>
  <c r="O32" i="35" s="1"/>
  <c r="H57" i="35"/>
  <c r="L56" i="35"/>
  <c r="C19" i="35" s="1"/>
  <c r="C20" i="35" s="1"/>
  <c r="L51" i="39"/>
  <c r="C19" i="39" s="1"/>
  <c r="C20" i="39" s="1"/>
  <c r="O31" i="39"/>
  <c r="M32" i="39"/>
  <c r="O32" i="39" s="1"/>
  <c r="E71" i="20"/>
  <c r="C26" i="4" l="1"/>
  <c r="N20" i="22" l="1"/>
  <c r="E62" i="22" s="1"/>
  <c r="C72" i="22" s="1"/>
  <c r="F72" i="22" s="1"/>
  <c r="N19" i="6"/>
  <c r="N19" i="22"/>
  <c r="E61" i="22" s="1"/>
  <c r="N18" i="6"/>
  <c r="E70" i="20"/>
  <c r="E69" i="20"/>
  <c r="K24" i="22"/>
  <c r="K23" i="22"/>
  <c r="K22" i="22"/>
  <c r="K21" i="22"/>
  <c r="K20" i="22"/>
  <c r="K19" i="22"/>
  <c r="J135" i="22"/>
  <c r="I135" i="22"/>
  <c r="H135" i="22"/>
  <c r="G135" i="22"/>
  <c r="F135" i="22"/>
  <c r="E135" i="22"/>
  <c r="D135" i="22"/>
  <c r="C135" i="22"/>
  <c r="J134" i="22"/>
  <c r="I134" i="22"/>
  <c r="K134" i="22" s="1"/>
  <c r="H134" i="22"/>
  <c r="G134" i="22"/>
  <c r="F134" i="22"/>
  <c r="E134" i="22"/>
  <c r="D134" i="22"/>
  <c r="C134" i="22"/>
  <c r="J133" i="22"/>
  <c r="I133" i="22"/>
  <c r="H133" i="22"/>
  <c r="G133" i="22"/>
  <c r="F133" i="22"/>
  <c r="E133" i="22"/>
  <c r="D133" i="22"/>
  <c r="C133" i="22"/>
  <c r="G114" i="22"/>
  <c r="F114" i="22"/>
  <c r="E114" i="22"/>
  <c r="D114" i="22"/>
  <c r="G113" i="22"/>
  <c r="F113" i="22"/>
  <c r="E113" i="22"/>
  <c r="D113" i="22"/>
  <c r="G112" i="22"/>
  <c r="F112" i="22"/>
  <c r="E112" i="22"/>
  <c r="D112" i="22"/>
  <c r="G111" i="22"/>
  <c r="F111" i="22"/>
  <c r="E111" i="22"/>
  <c r="D111" i="22"/>
  <c r="G110" i="22"/>
  <c r="F110" i="22"/>
  <c r="E110" i="22"/>
  <c r="D110" i="22"/>
  <c r="G109" i="22"/>
  <c r="F109" i="22"/>
  <c r="E109" i="22"/>
  <c r="D109" i="22"/>
  <c r="G108" i="22"/>
  <c r="F108" i="22"/>
  <c r="E108" i="22"/>
  <c r="D108" i="22"/>
  <c r="G107" i="22"/>
  <c r="F107" i="22"/>
  <c r="E107" i="22"/>
  <c r="D107" i="22"/>
  <c r="G106" i="22"/>
  <c r="F106" i="22"/>
  <c r="E106" i="22"/>
  <c r="D106" i="22"/>
  <c r="B103" i="22"/>
  <c r="G100" i="22"/>
  <c r="F100" i="22"/>
  <c r="E100" i="22"/>
  <c r="D100" i="22"/>
  <c r="G99" i="22"/>
  <c r="F99" i="22"/>
  <c r="E99" i="22"/>
  <c r="D99" i="22"/>
  <c r="G98" i="22"/>
  <c r="F98" i="22"/>
  <c r="E98" i="22"/>
  <c r="D98" i="22"/>
  <c r="G97" i="22"/>
  <c r="F97" i="22"/>
  <c r="E97" i="22"/>
  <c r="D97" i="22"/>
  <c r="G96" i="22"/>
  <c r="F96" i="22"/>
  <c r="E96" i="22"/>
  <c r="D96" i="22"/>
  <c r="G95" i="22"/>
  <c r="F95" i="22"/>
  <c r="E95" i="22"/>
  <c r="D95" i="22"/>
  <c r="G94" i="22"/>
  <c r="F94" i="22"/>
  <c r="E94" i="22"/>
  <c r="D94" i="22"/>
  <c r="G93" i="22"/>
  <c r="F93" i="22"/>
  <c r="E93" i="22"/>
  <c r="D93" i="22"/>
  <c r="G92" i="22"/>
  <c r="F92" i="22"/>
  <c r="E92" i="22"/>
  <c r="D92" i="22"/>
  <c r="B89" i="22"/>
  <c r="D49" i="22"/>
  <c r="D48" i="22"/>
  <c r="D47" i="22"/>
  <c r="C38" i="22"/>
  <c r="D24" i="22"/>
  <c r="D23" i="22"/>
  <c r="D22" i="22"/>
  <c r="I21" i="22"/>
  <c r="I20" i="22"/>
  <c r="E15" i="22"/>
  <c r="M15" i="22" s="1"/>
  <c r="B15" i="22"/>
  <c r="M11" i="22" s="1"/>
  <c r="L13" i="22"/>
  <c r="K13" i="22"/>
  <c r="U12" i="22"/>
  <c r="G9" i="22"/>
  <c r="F9" i="22"/>
  <c r="H9" i="22" s="1"/>
  <c r="D9" i="22"/>
  <c r="C9" i="22"/>
  <c r="U8" i="22"/>
  <c r="R8" i="22"/>
  <c r="Q8" i="22"/>
  <c r="H8" i="22"/>
  <c r="E8" i="22"/>
  <c r="U7" i="22"/>
  <c r="R7" i="22"/>
  <c r="Q7" i="22"/>
  <c r="N7" i="22"/>
  <c r="H7" i="22"/>
  <c r="U6" i="22"/>
  <c r="R6" i="22"/>
  <c r="Q6" i="22"/>
  <c r="N6" i="22"/>
  <c r="H6" i="22"/>
  <c r="E6" i="22"/>
  <c r="N5" i="22"/>
  <c r="N4" i="22"/>
  <c r="F52" i="22" s="1"/>
  <c r="F4" i="22"/>
  <c r="U4" i="22" s="1"/>
  <c r="C4" i="22"/>
  <c r="R4" i="22" s="1"/>
  <c r="N3" i="22"/>
  <c r="F2" i="22"/>
  <c r="F63" i="20"/>
  <c r="D63" i="20"/>
  <c r="F62" i="20"/>
  <c r="F61" i="20"/>
  <c r="F60" i="20"/>
  <c r="C49" i="20"/>
  <c r="K39" i="20"/>
  <c r="D39" i="20"/>
  <c r="K36" i="20"/>
  <c r="D26" i="20"/>
  <c r="C26" i="20"/>
  <c r="F26" i="20"/>
  <c r="H24" i="20"/>
  <c r="H9" i="20"/>
  <c r="H8" i="20"/>
  <c r="H7" i="20"/>
  <c r="H6" i="20"/>
  <c r="J17" i="20"/>
  <c r="I17" i="20"/>
  <c r="K133" i="22" l="1"/>
  <c r="K135" i="22"/>
  <c r="D15" i="22"/>
  <c r="H12" i="22"/>
  <c r="F53" i="22"/>
  <c r="K26" i="22"/>
  <c r="K27" i="22"/>
  <c r="F54" i="22"/>
  <c r="F55" i="22"/>
  <c r="K28" i="22"/>
  <c r="D52" i="22"/>
  <c r="H52" i="22" s="1"/>
  <c r="D25" i="22"/>
  <c r="L15" i="22"/>
  <c r="G115" i="20"/>
  <c r="G112" i="20"/>
  <c r="G109" i="20"/>
  <c r="F115" i="20"/>
  <c r="F112" i="20"/>
  <c r="F109" i="20"/>
  <c r="E115" i="20"/>
  <c r="E112" i="20"/>
  <c r="E109" i="20"/>
  <c r="D115" i="20"/>
  <c r="D112" i="20"/>
  <c r="D109" i="20"/>
  <c r="D114" i="20"/>
  <c r="D108" i="20"/>
  <c r="G114" i="20"/>
  <c r="G111" i="20"/>
  <c r="G108" i="20"/>
  <c r="F114" i="20"/>
  <c r="F111" i="20"/>
  <c r="F108" i="20"/>
  <c r="E114" i="20"/>
  <c r="E111" i="20"/>
  <c r="E108" i="20"/>
  <c r="D111" i="20"/>
  <c r="E110" i="20"/>
  <c r="D110" i="20"/>
  <c r="E107" i="20"/>
  <c r="D107" i="20"/>
  <c r="G113" i="20"/>
  <c r="F113" i="20"/>
  <c r="E113" i="20"/>
  <c r="D113" i="20"/>
  <c r="G110" i="20"/>
  <c r="F110" i="20"/>
  <c r="G107" i="20"/>
  <c r="F107" i="20"/>
  <c r="I6" i="20"/>
  <c r="E55" i="20" s="1"/>
  <c r="H63" i="20"/>
  <c r="I26" i="20"/>
  <c r="J26" i="20"/>
  <c r="J8" i="20"/>
  <c r="K35" i="20" s="1"/>
  <c r="J6" i="20"/>
  <c r="K33" i="20" s="1"/>
  <c r="G33" i="20" s="1"/>
  <c r="I8" i="20"/>
  <c r="E57" i="20" s="1"/>
  <c r="K21" i="20"/>
  <c r="K19" i="20"/>
  <c r="I7" i="20"/>
  <c r="E56" i="20" s="1"/>
  <c r="J7" i="20"/>
  <c r="K34" i="20" s="1"/>
  <c r="H34" i="20" s="1"/>
  <c r="J34" i="20" s="1"/>
  <c r="E36" i="20"/>
  <c r="E37" i="20"/>
  <c r="E38" i="20"/>
  <c r="H39" i="20"/>
  <c r="J39" i="20" s="1"/>
  <c r="E39" i="20"/>
  <c r="F39" i="20" s="1"/>
  <c r="E7" i="22"/>
  <c r="C71" i="22"/>
  <c r="J48" i="22"/>
  <c r="K48" i="22" s="1"/>
  <c r="E9" i="22"/>
  <c r="C15" i="22"/>
  <c r="J47" i="22"/>
  <c r="K47" i="22" s="1"/>
  <c r="D55" i="22"/>
  <c r="H55" i="22" s="1"/>
  <c r="J15" i="22"/>
  <c r="K15" i="22" s="1"/>
  <c r="D28" i="22"/>
  <c r="J49" i="22"/>
  <c r="K49" i="22" s="1"/>
  <c r="D65" i="22"/>
  <c r="K25" i="22"/>
  <c r="D73" i="20"/>
  <c r="E8" i="20"/>
  <c r="G39" i="20"/>
  <c r="E7" i="20"/>
  <c r="J9" i="20"/>
  <c r="E6" i="20"/>
  <c r="K20" i="20"/>
  <c r="I9" i="20"/>
  <c r="D36" i="20" l="1"/>
  <c r="F37" i="20"/>
  <c r="D60" i="20"/>
  <c r="H60" i="20" s="1"/>
  <c r="F36" i="20"/>
  <c r="D61" i="20"/>
  <c r="H61" i="20" s="1"/>
  <c r="F124" i="22"/>
  <c r="G124" i="22"/>
  <c r="D122" i="22"/>
  <c r="E122" i="22"/>
  <c r="I7" i="22"/>
  <c r="E48" i="22" s="1"/>
  <c r="D123" i="22"/>
  <c r="D126" i="22"/>
  <c r="D121" i="22"/>
  <c r="D124" i="22"/>
  <c r="D127" i="22"/>
  <c r="J8" i="22"/>
  <c r="F49" i="22" s="1"/>
  <c r="G122" i="22"/>
  <c r="J6" i="22"/>
  <c r="F47" i="22" s="1"/>
  <c r="I9" i="22"/>
  <c r="E120" i="22"/>
  <c r="E123" i="22"/>
  <c r="E126" i="22"/>
  <c r="X7" i="22"/>
  <c r="R48" i="22" s="1"/>
  <c r="S48" i="22" s="1"/>
  <c r="G127" i="22"/>
  <c r="D125" i="22"/>
  <c r="F125" i="22"/>
  <c r="J7" i="22"/>
  <c r="F48" i="22" s="1"/>
  <c r="F126" i="22"/>
  <c r="D62" i="20"/>
  <c r="H62" i="20" s="1"/>
  <c r="F56" i="20"/>
  <c r="H56" i="20" s="1"/>
  <c r="F57" i="20"/>
  <c r="H57" i="20" s="1"/>
  <c r="F55" i="20"/>
  <c r="H55" i="20" s="1"/>
  <c r="K9" i="20"/>
  <c r="F49" i="20"/>
  <c r="K7" i="20"/>
  <c r="K31" i="20"/>
  <c r="H31" i="20" s="1"/>
  <c r="J31" i="20" s="1"/>
  <c r="K8" i="20"/>
  <c r="K32" i="20"/>
  <c r="H32" i="20" s="1"/>
  <c r="J32" i="20" s="1"/>
  <c r="K6" i="20"/>
  <c r="K30" i="20"/>
  <c r="H30" i="20" s="1"/>
  <c r="H38" i="20"/>
  <c r="J38" i="20" s="1"/>
  <c r="J15" i="20"/>
  <c r="K15" i="20" s="1"/>
  <c r="J14" i="20"/>
  <c r="K14" i="20" s="1"/>
  <c r="J13" i="20"/>
  <c r="K13" i="20" s="1"/>
  <c r="G22" i="22"/>
  <c r="D54" i="22"/>
  <c r="H54" i="22" s="1"/>
  <c r="D53" i="22"/>
  <c r="H53" i="22" s="1"/>
  <c r="D27" i="22"/>
  <c r="D26" i="22"/>
  <c r="G128" i="22"/>
  <c r="F128" i="22"/>
  <c r="E128" i="22"/>
  <c r="D128" i="22"/>
  <c r="F127" i="22"/>
  <c r="I6" i="22"/>
  <c r="X6" i="22"/>
  <c r="R47" i="22" s="1"/>
  <c r="S47" i="22" s="1"/>
  <c r="G25" i="22"/>
  <c r="F123" i="22"/>
  <c r="F121" i="22"/>
  <c r="D120" i="22"/>
  <c r="F120" i="22"/>
  <c r="E127" i="22"/>
  <c r="X8" i="22"/>
  <c r="R49" i="22" s="1"/>
  <c r="S49" i="22" s="1"/>
  <c r="I8" i="22"/>
  <c r="J9" i="22"/>
  <c r="E124" i="22"/>
  <c r="E125" i="22"/>
  <c r="F122" i="22"/>
  <c r="G123" i="22"/>
  <c r="G28" i="22"/>
  <c r="H28" i="22"/>
  <c r="J28" i="22" s="1"/>
  <c r="E74" i="22"/>
  <c r="F71" i="22"/>
  <c r="H25" i="22"/>
  <c r="J25" i="22" s="1"/>
  <c r="G126" i="22"/>
  <c r="G125" i="22"/>
  <c r="E121" i="22"/>
  <c r="G121" i="22"/>
  <c r="G120" i="22"/>
  <c r="H33" i="20"/>
  <c r="J33" i="20" s="1"/>
  <c r="E33" i="20" s="1"/>
  <c r="F33" i="20" s="1"/>
  <c r="G35" i="20"/>
  <c r="H35" i="20"/>
  <c r="J35" i="20" s="1"/>
  <c r="E73" i="20"/>
  <c r="D49" i="20"/>
  <c r="E49" i="20"/>
  <c r="F73" i="20"/>
  <c r="G34" i="20"/>
  <c r="E34" i="20" s="1"/>
  <c r="F34" i="20" s="1"/>
  <c r="K7" i="22" l="1"/>
  <c r="H36" i="20"/>
  <c r="J36" i="20" s="1"/>
  <c r="G36" i="20"/>
  <c r="E65" i="22"/>
  <c r="D38" i="22"/>
  <c r="G56" i="20"/>
  <c r="G55" i="20"/>
  <c r="G31" i="20"/>
  <c r="E31" i="20" s="1"/>
  <c r="F31" i="20" s="1"/>
  <c r="F38" i="20"/>
  <c r="G57" i="20"/>
  <c r="G38" i="20"/>
  <c r="G32" i="20"/>
  <c r="E32" i="20" s="1"/>
  <c r="F32" i="20" s="1"/>
  <c r="G30" i="20"/>
  <c r="J54" i="20"/>
  <c r="C14" i="20" s="1"/>
  <c r="D69" i="20"/>
  <c r="H73" i="20"/>
  <c r="G37" i="20"/>
  <c r="H37" i="20"/>
  <c r="J37" i="20" s="1"/>
  <c r="E28" i="22"/>
  <c r="F28" i="22" s="1"/>
  <c r="E25" i="22"/>
  <c r="F25" i="22" s="1"/>
  <c r="E35" i="20"/>
  <c r="F35" i="20" s="1"/>
  <c r="H22" i="22"/>
  <c r="J22" i="22" s="1"/>
  <c r="E22" i="22" s="1"/>
  <c r="F22" i="22" s="1"/>
  <c r="F65" i="22"/>
  <c r="H65" i="22" s="1"/>
  <c r="E38" i="22"/>
  <c r="G48" i="22"/>
  <c r="H48" i="22"/>
  <c r="L48" i="22" s="1"/>
  <c r="G23" i="22"/>
  <c r="H23" i="22"/>
  <c r="J23" i="22" s="1"/>
  <c r="G21" i="22"/>
  <c r="H21" i="22"/>
  <c r="J21" i="22" s="1"/>
  <c r="K6" i="22"/>
  <c r="E47" i="22"/>
  <c r="G26" i="22"/>
  <c r="H26" i="22"/>
  <c r="J26" i="22" s="1"/>
  <c r="H27" i="22"/>
  <c r="J27" i="22" s="1"/>
  <c r="G27" i="22"/>
  <c r="K9" i="22"/>
  <c r="K8" i="22"/>
  <c r="E49" i="22"/>
  <c r="G24" i="22"/>
  <c r="H24" i="22"/>
  <c r="J24" i="22" s="1"/>
  <c r="S50" i="22"/>
  <c r="J30" i="20"/>
  <c r="F38" i="22" l="1"/>
  <c r="G47" i="20"/>
  <c r="C19" i="20"/>
  <c r="C18" i="20"/>
  <c r="C20" i="20"/>
  <c r="C17" i="20"/>
  <c r="E23" i="22"/>
  <c r="F23" i="22" s="1"/>
  <c r="H47" i="20"/>
  <c r="E24" i="22"/>
  <c r="F24" i="22" s="1"/>
  <c r="E26" i="22"/>
  <c r="F26" i="22" s="1"/>
  <c r="E27" i="22"/>
  <c r="F27" i="22" s="1"/>
  <c r="E21" i="22"/>
  <c r="F21" i="22" s="1"/>
  <c r="H49" i="22"/>
  <c r="G49" i="22"/>
  <c r="G47" i="22"/>
  <c r="H47" i="22"/>
  <c r="H20" i="22"/>
  <c r="J20" i="22" s="1"/>
  <c r="G20" i="22"/>
  <c r="H19" i="22"/>
  <c r="G19" i="22"/>
  <c r="D70" i="20"/>
  <c r="H70" i="20" s="1"/>
  <c r="H69" i="20"/>
  <c r="D71" i="20"/>
  <c r="H71" i="20" s="1"/>
  <c r="M30" i="20"/>
  <c r="J47" i="20"/>
  <c r="E30" i="20"/>
  <c r="F30" i="20" s="1"/>
  <c r="F47" i="20" s="1"/>
  <c r="O47" i="20" s="1"/>
  <c r="K54" i="20" l="1"/>
  <c r="C21" i="20" s="1"/>
  <c r="C22" i="20" s="1"/>
  <c r="E20" i="22"/>
  <c r="F20" i="22" s="1"/>
  <c r="G36" i="22"/>
  <c r="J19" i="22"/>
  <c r="J36" i="22" s="1"/>
  <c r="H36" i="22"/>
  <c r="C83" i="22"/>
  <c r="C82" i="22"/>
  <c r="H73" i="22"/>
  <c r="C84" i="22"/>
  <c r="D61" i="22"/>
  <c r="C85" i="22"/>
  <c r="L47" i="22"/>
  <c r="D71" i="22"/>
  <c r="L49" i="22"/>
  <c r="O30" i="20"/>
  <c r="M31" i="20"/>
  <c r="O31" i="20" s="1"/>
  <c r="H53" i="20"/>
  <c r="E19" i="22" l="1"/>
  <c r="F19" i="22" s="1"/>
  <c r="F36" i="22" s="1"/>
  <c r="L51" i="22"/>
  <c r="H66" i="22" s="1"/>
  <c r="M19" i="22"/>
  <c r="O19" i="22" s="1"/>
  <c r="D62" i="22"/>
  <c r="H61" i="22"/>
  <c r="I73" i="22"/>
  <c r="D73" i="22"/>
  <c r="H76" i="22"/>
  <c r="D72" i="22"/>
  <c r="G72" i="22" s="1"/>
  <c r="G71" i="22"/>
  <c r="G73" i="22" l="1"/>
  <c r="D63" i="22"/>
  <c r="H63" i="22" s="1"/>
  <c r="M20" i="22"/>
  <c r="O20" i="22" s="1"/>
  <c r="H62" i="22"/>
  <c r="C86" i="22" l="1"/>
  <c r="C87" i="22" s="1"/>
  <c r="H45" i="22"/>
  <c r="G6" i="6" l="1"/>
  <c r="K19" i="6" s="1"/>
  <c r="F6" i="6"/>
  <c r="K18" i="6" s="1"/>
  <c r="E14" i="6" l="1"/>
  <c r="B14" i="6"/>
  <c r="U11" i="6"/>
  <c r="T11" i="6"/>
  <c r="H7" i="4"/>
  <c r="F4" i="6" l="1"/>
  <c r="C4" i="6"/>
  <c r="L12" i="6" l="1"/>
  <c r="K12" i="6"/>
  <c r="D21" i="6" l="1"/>
  <c r="E75" i="6" l="1"/>
  <c r="E74" i="6"/>
  <c r="E73" i="6"/>
  <c r="D52" i="6"/>
  <c r="D51" i="6"/>
  <c r="E67" i="4"/>
  <c r="E66" i="4"/>
  <c r="E68" i="4" l="1"/>
  <c r="F58" i="4"/>
  <c r="F59" i="4"/>
  <c r="F60" i="4"/>
  <c r="F57" i="4"/>
  <c r="D60" i="4"/>
  <c r="D54" i="4"/>
  <c r="H60" i="4" l="1"/>
  <c r="C40" i="6"/>
  <c r="F40" i="6" s="1"/>
  <c r="C39" i="6"/>
  <c r="D20" i="6"/>
  <c r="F39" i="6" l="1"/>
  <c r="K35" i="4" l="1"/>
  <c r="E35" i="4" s="1"/>
  <c r="K34" i="4"/>
  <c r="E34" i="4" s="1"/>
  <c r="K33" i="4"/>
  <c r="D77" i="6" l="1"/>
  <c r="G8" i="6" l="1"/>
  <c r="F8" i="6"/>
  <c r="N7" i="6"/>
  <c r="N6" i="6"/>
  <c r="N5" i="6"/>
  <c r="N4" i="6"/>
  <c r="H8" i="6" l="1"/>
  <c r="U6" i="6" l="1"/>
  <c r="R6" i="6"/>
  <c r="Q6" i="6" l="1"/>
  <c r="U4" i="6"/>
  <c r="R4" i="6"/>
  <c r="M7" i="6" l="1"/>
  <c r="F58" i="6"/>
  <c r="F63" i="6" s="1"/>
  <c r="C84" i="6" l="1"/>
  <c r="F84" i="6" s="1"/>
  <c r="C83" i="6"/>
  <c r="E86" i="6" l="1"/>
  <c r="F83" i="6"/>
  <c r="M6" i="6" l="1"/>
  <c r="F56" i="6"/>
  <c r="M5" i="6"/>
  <c r="F55" i="6"/>
  <c r="M4" i="6"/>
  <c r="F57" i="6" l="1"/>
  <c r="E6" i="6"/>
  <c r="H6" i="6"/>
  <c r="H7" i="6"/>
  <c r="E7" i="6"/>
  <c r="H6" i="4"/>
  <c r="E6" i="4"/>
  <c r="G126" i="6" l="1"/>
  <c r="F126" i="6"/>
  <c r="E126" i="6"/>
  <c r="D126" i="6"/>
  <c r="B126" i="6"/>
  <c r="G125" i="6"/>
  <c r="F125" i="6"/>
  <c r="E125" i="6"/>
  <c r="D125" i="6"/>
  <c r="B125" i="6"/>
  <c r="G124" i="6"/>
  <c r="F124" i="6"/>
  <c r="E124" i="6"/>
  <c r="D124" i="6"/>
  <c r="B124" i="6"/>
  <c r="G123" i="6"/>
  <c r="F123" i="6"/>
  <c r="E123" i="6"/>
  <c r="D123" i="6"/>
  <c r="B123" i="6"/>
  <c r="G122" i="6"/>
  <c r="F122" i="6"/>
  <c r="E122" i="6"/>
  <c r="D122" i="6"/>
  <c r="B122" i="6"/>
  <c r="G121" i="6"/>
  <c r="F121" i="6"/>
  <c r="E121" i="6"/>
  <c r="D121" i="6"/>
  <c r="B121" i="6"/>
  <c r="G120" i="6"/>
  <c r="F120" i="6"/>
  <c r="E120" i="6"/>
  <c r="D120" i="6"/>
  <c r="B120" i="6"/>
  <c r="G119" i="6"/>
  <c r="F119" i="6"/>
  <c r="E119" i="6"/>
  <c r="D119" i="6"/>
  <c r="B119" i="6"/>
  <c r="G118" i="6"/>
  <c r="F118" i="6"/>
  <c r="E118" i="6"/>
  <c r="D118" i="6"/>
  <c r="B118" i="6"/>
  <c r="G116" i="6"/>
  <c r="F116" i="6"/>
  <c r="E116" i="6"/>
  <c r="D116" i="6"/>
  <c r="B116" i="6"/>
  <c r="G115" i="6"/>
  <c r="F115" i="6"/>
  <c r="E115" i="6"/>
  <c r="D115" i="6"/>
  <c r="B115" i="6"/>
  <c r="G112" i="6"/>
  <c r="F112" i="6"/>
  <c r="E112" i="6"/>
  <c r="D112" i="6"/>
  <c r="B112" i="6"/>
  <c r="G111" i="6"/>
  <c r="F111" i="6"/>
  <c r="E111" i="6"/>
  <c r="D111" i="6"/>
  <c r="B111" i="6"/>
  <c r="G110" i="6"/>
  <c r="F110" i="6"/>
  <c r="E110" i="6"/>
  <c r="D110" i="6"/>
  <c r="B110" i="6"/>
  <c r="G109" i="6"/>
  <c r="F109" i="6"/>
  <c r="E109" i="6"/>
  <c r="D109" i="6"/>
  <c r="B109" i="6"/>
  <c r="G108" i="6"/>
  <c r="F108" i="6"/>
  <c r="E108" i="6"/>
  <c r="D108" i="6"/>
  <c r="B108" i="6"/>
  <c r="G107" i="6"/>
  <c r="F107" i="6"/>
  <c r="E107" i="6"/>
  <c r="D107" i="6"/>
  <c r="B107" i="6"/>
  <c r="G106" i="6"/>
  <c r="F106" i="6"/>
  <c r="E106" i="6"/>
  <c r="D106" i="6"/>
  <c r="B106" i="6"/>
  <c r="G105" i="6"/>
  <c r="F105" i="6"/>
  <c r="E105" i="6"/>
  <c r="D105" i="6"/>
  <c r="B105" i="6"/>
  <c r="G104" i="6"/>
  <c r="F104" i="6"/>
  <c r="E104" i="6"/>
  <c r="D104" i="6"/>
  <c r="B104" i="6"/>
  <c r="G102" i="6"/>
  <c r="F102" i="6"/>
  <c r="E102" i="6"/>
  <c r="D102" i="6"/>
  <c r="B102" i="6"/>
  <c r="G101" i="6"/>
  <c r="F101" i="6"/>
  <c r="E101" i="6"/>
  <c r="D101" i="6"/>
  <c r="B101" i="6"/>
  <c r="M10" i="6" l="1"/>
  <c r="H24" i="4"/>
  <c r="D26" i="4" l="1"/>
  <c r="K15" i="4" s="1"/>
  <c r="J11" i="4" s="1"/>
  <c r="M14" i="6" l="1"/>
  <c r="L14" i="6" s="1"/>
  <c r="J14" i="6"/>
  <c r="K14" i="6" s="1"/>
  <c r="H11" i="6"/>
  <c r="D24" i="6" l="1"/>
  <c r="D57" i="6"/>
  <c r="D62" i="6"/>
  <c r="D22" i="6"/>
  <c r="D55" i="6"/>
  <c r="D60" i="6"/>
  <c r="D23" i="6"/>
  <c r="D25" i="6"/>
  <c r="D61" i="6"/>
  <c r="D56" i="6"/>
  <c r="D58" i="6"/>
  <c r="D63" i="6"/>
  <c r="H63" i="6" s="1"/>
  <c r="H68" i="6" s="1"/>
  <c r="J70" i="6" l="1"/>
  <c r="H58" i="6"/>
  <c r="I63" i="6" s="1"/>
  <c r="F61" i="6"/>
  <c r="H61" i="6" s="1"/>
  <c r="H66" i="6" s="1"/>
  <c r="J68" i="6" l="1"/>
  <c r="K23" i="6" s="1"/>
  <c r="E23" i="6" s="1"/>
  <c r="F23" i="6" s="1"/>
  <c r="F60" i="6"/>
  <c r="J67" i="6" s="1"/>
  <c r="H55" i="6"/>
  <c r="H56" i="6"/>
  <c r="I61" i="6" s="1"/>
  <c r="K61" i="6" s="1"/>
  <c r="F62" i="6"/>
  <c r="J69" i="6" s="1"/>
  <c r="H57" i="6"/>
  <c r="G23" i="6" l="1"/>
  <c r="H62" i="6"/>
  <c r="H67" i="6" s="1"/>
  <c r="K24" i="6"/>
  <c r="H23" i="6"/>
  <c r="J23" i="6" s="1"/>
  <c r="H60" i="6"/>
  <c r="H65" i="6" s="1"/>
  <c r="K22" i="6"/>
  <c r="E22" i="6" s="1"/>
  <c r="I62" i="6" l="1"/>
  <c r="E24" i="6"/>
  <c r="F24" i="6" s="1"/>
  <c r="G24" i="6"/>
  <c r="H24" i="6"/>
  <c r="J24" i="6" s="1"/>
  <c r="I60" i="6"/>
  <c r="F2" i="6"/>
  <c r="D14" i="6" l="1"/>
  <c r="C14" i="6"/>
  <c r="I8" i="6" l="1"/>
  <c r="J8" i="6"/>
  <c r="X6" i="6"/>
  <c r="D132" i="6"/>
  <c r="I7" i="6"/>
  <c r="J6" i="6"/>
  <c r="I6" i="6"/>
  <c r="J7" i="6"/>
  <c r="E138" i="6"/>
  <c r="D138" i="6"/>
  <c r="G133" i="6"/>
  <c r="F133" i="6"/>
  <c r="D140" i="6"/>
  <c r="G139" i="6"/>
  <c r="F138" i="6"/>
  <c r="E132" i="6"/>
  <c r="E137" i="6"/>
  <c r="D133" i="6"/>
  <c r="G136" i="6"/>
  <c r="G134" i="6"/>
  <c r="G132" i="6"/>
  <c r="E134" i="6"/>
  <c r="E140" i="6"/>
  <c r="F132" i="6"/>
  <c r="G135" i="6"/>
  <c r="F135" i="6"/>
  <c r="F140" i="6"/>
  <c r="D136" i="6"/>
  <c r="E136" i="6"/>
  <c r="G138" i="6"/>
  <c r="F137" i="6"/>
  <c r="D139" i="6"/>
  <c r="G140" i="6"/>
  <c r="F134" i="6"/>
  <c r="D137" i="6"/>
  <c r="E135" i="6"/>
  <c r="F139" i="6"/>
  <c r="E133" i="6"/>
  <c r="F136" i="6"/>
  <c r="E139" i="6"/>
  <c r="G137" i="6"/>
  <c r="D134" i="6"/>
  <c r="D135" i="6"/>
  <c r="R51" i="6" l="1"/>
  <c r="R52" i="6" s="1"/>
  <c r="S52" i="6" s="1"/>
  <c r="S53" i="6" s="1"/>
  <c r="R18" i="6"/>
  <c r="F77" i="6"/>
  <c r="F34" i="6"/>
  <c r="E51" i="6"/>
  <c r="F51" i="6"/>
  <c r="F52" i="6" s="1"/>
  <c r="K20" i="6"/>
  <c r="E77" i="6"/>
  <c r="K8" i="6"/>
  <c r="K6" i="6"/>
  <c r="K7" i="6"/>
  <c r="G18" i="6" l="1"/>
  <c r="H20" i="6"/>
  <c r="J20" i="6" s="1"/>
  <c r="K21" i="6"/>
  <c r="G21" i="6" s="1"/>
  <c r="S51" i="6"/>
  <c r="T51" i="6" s="1"/>
  <c r="R19" i="6"/>
  <c r="S19" i="6" s="1"/>
  <c r="S20" i="6" s="1"/>
  <c r="S18" i="6"/>
  <c r="H18" i="6"/>
  <c r="J18" i="6" s="1"/>
  <c r="G20" i="6"/>
  <c r="H77" i="6"/>
  <c r="J51" i="6"/>
  <c r="K51" i="6" s="1"/>
  <c r="E52" i="6"/>
  <c r="G51" i="6"/>
  <c r="H51" i="6"/>
  <c r="H19" i="6" l="1"/>
  <c r="E20" i="6"/>
  <c r="F20" i="6" s="1"/>
  <c r="G19" i="6"/>
  <c r="E18" i="6"/>
  <c r="F18" i="6" s="1"/>
  <c r="H21" i="6"/>
  <c r="J21" i="6" s="1"/>
  <c r="E21" i="6" s="1"/>
  <c r="F21" i="6" s="1"/>
  <c r="S21" i="6"/>
  <c r="J52" i="6"/>
  <c r="K52" i="6" s="1"/>
  <c r="H52" i="6"/>
  <c r="G52" i="6"/>
  <c r="L51" i="6"/>
  <c r="F26" i="4"/>
  <c r="J19" i="6" l="1"/>
  <c r="E19" i="6" s="1"/>
  <c r="F19" i="6" s="1"/>
  <c r="H53" i="6"/>
  <c r="F36" i="6" s="1"/>
  <c r="L52" i="6"/>
  <c r="H85" i="6" l="1"/>
  <c r="H88" i="6" s="1"/>
  <c r="H78" i="6"/>
  <c r="D73" i="6"/>
  <c r="M18" i="6" s="1"/>
  <c r="D83" i="6"/>
  <c r="I7" i="4"/>
  <c r="D85" i="6" l="1"/>
  <c r="D75" i="6" s="1"/>
  <c r="J7" i="4"/>
  <c r="K7" i="4" s="1"/>
  <c r="D84" i="6"/>
  <c r="G84" i="6" s="1"/>
  <c r="G83" i="6"/>
  <c r="I6" i="4"/>
  <c r="K31" i="4" s="1"/>
  <c r="J6" i="4"/>
  <c r="K32" i="4" s="1"/>
  <c r="H32" i="4" s="1"/>
  <c r="F113" i="4"/>
  <c r="E116" i="4"/>
  <c r="G118" i="4"/>
  <c r="D114" i="4"/>
  <c r="G119" i="4"/>
  <c r="G114" i="4"/>
  <c r="D118" i="4"/>
  <c r="F112" i="4"/>
  <c r="E118" i="4"/>
  <c r="G115" i="4"/>
  <c r="G113" i="4"/>
  <c r="F116" i="4"/>
  <c r="E119" i="4"/>
  <c r="D115" i="4"/>
  <c r="F114" i="4"/>
  <c r="D117" i="4"/>
  <c r="E112" i="4"/>
  <c r="G117" i="4"/>
  <c r="F115" i="4"/>
  <c r="D120" i="4"/>
  <c r="F118" i="4"/>
  <c r="E114" i="4"/>
  <c r="G116" i="4"/>
  <c r="F119" i="4"/>
  <c r="D116" i="4"/>
  <c r="E117" i="4"/>
  <c r="E120" i="4"/>
  <c r="E115" i="4"/>
  <c r="D119" i="4"/>
  <c r="G120" i="4"/>
  <c r="E113" i="4"/>
  <c r="D112" i="4"/>
  <c r="F117" i="4"/>
  <c r="F120" i="4"/>
  <c r="G112" i="4"/>
  <c r="D113" i="4"/>
  <c r="H31" i="4" l="1"/>
  <c r="J31" i="4" s="1"/>
  <c r="G31" i="4"/>
  <c r="F46" i="4"/>
  <c r="F54" i="4"/>
  <c r="E54" i="4"/>
  <c r="K11" i="4"/>
  <c r="K6" i="4"/>
  <c r="E31" i="4" l="1"/>
  <c r="F31" i="4" s="1"/>
  <c r="H54" i="4"/>
  <c r="G54" i="4"/>
  <c r="G32" i="4"/>
  <c r="J32" i="4"/>
  <c r="E32" i="4" l="1"/>
  <c r="F32" i="4" s="1"/>
  <c r="K26" i="4" l="1"/>
  <c r="J26" i="4" s="1"/>
  <c r="H26" i="4"/>
  <c r="I26" i="4" s="1"/>
  <c r="D33" i="4" l="1"/>
  <c r="D57" i="4"/>
  <c r="H57" i="4" s="1"/>
  <c r="D58" i="4"/>
  <c r="H58" i="4" s="1"/>
  <c r="D59" i="4"/>
  <c r="H59" i="4" s="1"/>
  <c r="J51" i="4" l="1"/>
  <c r="C12" i="4" s="1"/>
  <c r="D66" i="4"/>
  <c r="G35" i="4"/>
  <c r="F35" i="4"/>
  <c r="H35" i="4"/>
  <c r="J35" i="4" s="1"/>
  <c r="G33" i="4"/>
  <c r="H33" i="4"/>
  <c r="G34" i="4"/>
  <c r="F34" i="4"/>
  <c r="H34" i="4"/>
  <c r="J34" i="4" s="1"/>
  <c r="C17" i="4" l="1"/>
  <c r="C16" i="4"/>
  <c r="D68" i="4"/>
  <c r="H68" i="4" s="1"/>
  <c r="C18" i="4"/>
  <c r="C15" i="4"/>
  <c r="H66" i="4"/>
  <c r="M31" i="4"/>
  <c r="M32" i="4" s="1"/>
  <c r="O32" i="4" s="1"/>
  <c r="D67" i="4"/>
  <c r="H67" i="4" s="1"/>
  <c r="J33" i="4"/>
  <c r="J44" i="4" s="1"/>
  <c r="H44" i="4"/>
  <c r="G44" i="4"/>
  <c r="L51" i="4" l="1"/>
  <c r="C19" i="4" s="1"/>
  <c r="O31" i="4"/>
  <c r="H52" i="4"/>
  <c r="E33" i="4"/>
  <c r="F33" i="4" s="1"/>
  <c r="O44" i="4" s="1"/>
  <c r="H73" i="6" l="1"/>
  <c r="D74" i="6"/>
  <c r="H74" i="6" s="1"/>
  <c r="H75" i="6" l="1"/>
  <c r="H49" i="6" s="1"/>
  <c r="K25" i="6" s="1"/>
  <c r="E25" i="6" l="1"/>
  <c r="F25" i="6" s="1"/>
  <c r="G25" i="6"/>
  <c r="H25" i="6"/>
  <c r="J25" i="6" s="1"/>
  <c r="H41" i="6"/>
  <c r="D39" i="6"/>
  <c r="I85" i="6"/>
  <c r="G85" i="6"/>
  <c r="C20" i="4"/>
  <c r="G22" i="6" l="1"/>
  <c r="O18" i="6"/>
  <c r="D40" i="6"/>
  <c r="G40" i="6" s="1"/>
  <c r="H22" i="6"/>
  <c r="H32" i="6" s="1"/>
  <c r="D41" i="6"/>
  <c r="G41" i="6" s="1"/>
  <c r="G32" i="6" l="1"/>
  <c r="M19" i="6"/>
  <c r="O19" i="6" s="1"/>
  <c r="G39" i="6"/>
  <c r="J22" i="6"/>
  <c r="J32" i="6" s="1"/>
  <c r="F22" i="6" l="1"/>
  <c r="F32" i="6" s="1"/>
  <c r="C98" i="6"/>
  <c r="C97" i="6" l="1"/>
  <c r="C94" i="6"/>
  <c r="C95" i="6"/>
  <c r="C96" i="6"/>
  <c r="C99" i="6" l="1"/>
  <c r="F26" i="31"/>
  <c r="J26" i="31"/>
  <c r="D33" i="31" s="1"/>
  <c r="D57" i="31" l="1"/>
  <c r="H57" i="31" s="1"/>
  <c r="D114" i="31"/>
  <c r="K15" i="31"/>
  <c r="J11" i="31" s="1"/>
  <c r="K11" i="31" s="1"/>
  <c r="I7" i="31"/>
  <c r="D113" i="31"/>
  <c r="F115" i="31"/>
  <c r="F118" i="31"/>
  <c r="D116" i="31"/>
  <c r="E116" i="31"/>
  <c r="F112" i="31"/>
  <c r="E118" i="31"/>
  <c r="F116" i="31"/>
  <c r="F120" i="31"/>
  <c r="E113" i="31"/>
  <c r="F117" i="31"/>
  <c r="G117" i="31"/>
  <c r="G114" i="31"/>
  <c r="D112" i="31"/>
  <c r="G116" i="31"/>
  <c r="G118" i="31"/>
  <c r="D59" i="31"/>
  <c r="H59" i="31" s="1"/>
  <c r="F34" i="31"/>
  <c r="G119" i="31"/>
  <c r="F119" i="31"/>
  <c r="E117" i="31"/>
  <c r="J7" i="31"/>
  <c r="D119" i="31"/>
  <c r="E119" i="31"/>
  <c r="D115" i="31"/>
  <c r="E114" i="31"/>
  <c r="E120" i="31"/>
  <c r="F114" i="31"/>
  <c r="E115" i="31"/>
  <c r="E112" i="31"/>
  <c r="G115" i="31"/>
  <c r="F113" i="31"/>
  <c r="J6" i="31"/>
  <c r="G113" i="31"/>
  <c r="D120" i="31"/>
  <c r="D58" i="31"/>
  <c r="H58" i="31" s="1"/>
  <c r="D35" i="31"/>
  <c r="F35" i="31" s="1"/>
  <c r="I6" i="31"/>
  <c r="K31" i="31" s="1"/>
  <c r="G31" i="31" s="1"/>
  <c r="G112" i="31"/>
  <c r="D118" i="31"/>
  <c r="D117" i="31"/>
  <c r="G120" i="31"/>
  <c r="H33" i="31" l="1"/>
  <c r="J33" i="31" s="1"/>
  <c r="G33" i="31"/>
  <c r="K7" i="31"/>
  <c r="F46" i="31"/>
  <c r="H31" i="31"/>
  <c r="J31" i="31" s="1"/>
  <c r="F54" i="31"/>
  <c r="K32" i="31"/>
  <c r="G34" i="31"/>
  <c r="H34" i="31"/>
  <c r="J34" i="31" s="1"/>
  <c r="K6" i="31"/>
  <c r="E54" i="31"/>
  <c r="G35" i="31"/>
  <c r="H35" i="31"/>
  <c r="J35" i="31" s="1"/>
  <c r="E33" i="31" l="1"/>
  <c r="F33" i="31" s="1"/>
  <c r="E31" i="31"/>
  <c r="F31" i="31" s="1"/>
  <c r="H32" i="31"/>
  <c r="J32" i="31" s="1"/>
  <c r="J44" i="31" s="1"/>
  <c r="G32" i="31"/>
  <c r="G44" i="31" s="1"/>
  <c r="H54" i="31"/>
  <c r="G54" i="31"/>
  <c r="H44" i="31" l="1"/>
  <c r="D68" i="31"/>
  <c r="H68" i="31" s="1"/>
  <c r="E32" i="31"/>
  <c r="D66" i="31"/>
  <c r="J51" i="31"/>
  <c r="C12" i="31" s="1"/>
  <c r="F32" i="31" l="1"/>
  <c r="F44" i="31" s="1"/>
  <c r="O44" i="31" s="1"/>
  <c r="C17" i="31"/>
  <c r="C15" i="31"/>
  <c r="C18" i="31"/>
  <c r="C16" i="31"/>
  <c r="H66" i="31"/>
  <c r="D67" i="31"/>
  <c r="H67" i="31" s="1"/>
  <c r="M31" i="31"/>
  <c r="M32" i="31" l="1"/>
  <c r="O32" i="31" s="1"/>
  <c r="O31" i="31"/>
  <c r="L51" i="31"/>
  <c r="C19" i="31" s="1"/>
  <c r="C20" i="31" s="1"/>
  <c r="H52" i="31"/>
  <c r="D78" i="55"/>
  <c r="H78" i="55" s="1"/>
  <c r="H77" i="55"/>
  <c r="M36" i="55"/>
  <c r="M37" i="55" s="1"/>
  <c r="O37" i="55" s="1"/>
  <c r="L65" i="55" l="1"/>
  <c r="C20" i="55" s="1"/>
  <c r="C21" i="55" s="1"/>
  <c r="O36" i="55"/>
</calcChain>
</file>

<file path=xl/sharedStrings.xml><?xml version="1.0" encoding="utf-8"?>
<sst xmlns="http://schemas.openxmlformats.org/spreadsheetml/2006/main" count="4255" uniqueCount="437">
  <si>
    <t>SUBGRUPO</t>
  </si>
  <si>
    <t>MODALIDADE</t>
  </si>
  <si>
    <t>CLASSE</t>
  </si>
  <si>
    <t>POSTO</t>
  </si>
  <si>
    <t>TARIFAS DE APLICAÇÃO</t>
  </si>
  <si>
    <t>TARIFAS 2024</t>
  </si>
  <si>
    <t>TUSD</t>
  </si>
  <si>
    <t>TE</t>
  </si>
  <si>
    <t>R$/kW</t>
  </si>
  <si>
    <t>R$/MWh</t>
  </si>
  <si>
    <t>KWH</t>
  </si>
  <si>
    <t>B1</t>
  </si>
  <si>
    <t>TB BRANCA</t>
  </si>
  <si>
    <t>RESIDENCIAL TB</t>
  </si>
  <si>
    <t>P</t>
  </si>
  <si>
    <t>INT</t>
  </si>
  <si>
    <t>FP</t>
  </si>
  <si>
    <t>CONVENCIONAL</t>
  </si>
  <si>
    <t>RESIDENCIAL</t>
  </si>
  <si>
    <t>NA</t>
  </si>
  <si>
    <t>BAIXA RENDA</t>
  </si>
  <si>
    <t>B2</t>
  </si>
  <si>
    <t>BRANCA</t>
  </si>
  <si>
    <t>RURAL</t>
  </si>
  <si>
    <t>B3</t>
  </si>
  <si>
    <t>COMERCIAL TB</t>
  </si>
  <si>
    <t>B4</t>
  </si>
  <si>
    <t>ILUMINAÇÃO PÚBLICA – B4A</t>
  </si>
  <si>
    <t>ILUMINAÇÃO PÚBLICA – B4B</t>
  </si>
  <si>
    <t>TABELA  1 – TARIFAS DE APLICAÇÃO E BASE ECONÔMICA PARA O GRUPO A.</t>
  </si>
  <si>
    <t>UC</t>
  </si>
  <si>
    <t>BASE ECONÔMICA</t>
  </si>
  <si>
    <t>Reajuste</t>
  </si>
  <si>
    <t>Dia</t>
  </si>
  <si>
    <t>Mês</t>
  </si>
  <si>
    <t>Ano</t>
  </si>
  <si>
    <t xml:space="preserve">TE </t>
  </si>
  <si>
    <t>De</t>
  </si>
  <si>
    <t>23</t>
  </si>
  <si>
    <t>10</t>
  </si>
  <si>
    <t>BAM – R$/MWh</t>
  </si>
  <si>
    <t>BVD – R$/MWh</t>
  </si>
  <si>
    <t>BVM – R$/MWh</t>
  </si>
  <si>
    <t>Até</t>
  </si>
  <si>
    <t>31</t>
  </si>
  <si>
    <t>12</t>
  </si>
  <si>
    <t>BVM1 – R$/MWh</t>
  </si>
  <si>
    <t>A1 (230 kV ou mais)</t>
  </si>
  <si>
    <t>AZUL</t>
  </si>
  <si>
    <t>BVM2 – R$/MWh</t>
  </si>
  <si>
    <t>AZUL APE</t>
  </si>
  <si>
    <t>Tipo de ATO</t>
  </si>
  <si>
    <t>Número</t>
  </si>
  <si>
    <t>Descrição</t>
  </si>
  <si>
    <t>A2 (88 a 138kV)</t>
  </si>
  <si>
    <t>1</t>
  </si>
  <si>
    <t>Resolução Homologatória</t>
  </si>
  <si>
    <t>2</t>
  </si>
  <si>
    <t>Despacho</t>
  </si>
  <si>
    <t>3</t>
  </si>
  <si>
    <t>Resolução Normativa</t>
  </si>
  <si>
    <t>DISTRIBUIÇÃO</t>
  </si>
  <si>
    <t>ELEKTRO/ENEL</t>
  </si>
  <si>
    <t>Instruções:</t>
  </si>
  <si>
    <t>Preencher apenas os campos em verde</t>
  </si>
  <si>
    <t>GERAÇÃO</t>
  </si>
  <si>
    <t>SANTA BRANCA</t>
  </si>
  <si>
    <t>Informar o tipo, número da resolução e ano,para atualizar tabela da Nfe-3</t>
  </si>
  <si>
    <t>JAGUARI</t>
  </si>
  <si>
    <t>LAVRINHAS</t>
  </si>
  <si>
    <t>QUELUZ</t>
  </si>
  <si>
    <t>NOVAS CENTRAIS GERADORAS, EM A2, NÃO CONSIDERADAS NOMINALMENTE NESTE QUADRO</t>
  </si>
  <si>
    <t>A3 (69kV)</t>
  </si>
  <si>
    <t>A3a (30 a 44kV)</t>
  </si>
  <si>
    <t>VERDE</t>
  </si>
  <si>
    <t>VERDE APE</t>
  </si>
  <si>
    <t>ELEKTRO</t>
  </si>
  <si>
    <t>A4 (2,3 a 25kV)</t>
  </si>
  <si>
    <t>CEDRAP/CERMC</t>
  </si>
  <si>
    <t>TABELA 2 – TARIFAS DE APLICAÇÃO E BASE ECONÔMICA PARA O GRUPO B.</t>
  </si>
  <si>
    <t>SUBCLASSE</t>
  </si>
  <si>
    <t>TARIFAS BASE ECONÔMICA</t>
  </si>
  <si>
    <t xml:space="preserve">TUSD </t>
  </si>
  <si>
    <r>
      <t>BAIXA RENDA</t>
    </r>
    <r>
      <rPr>
        <vertAlign val="superscript"/>
        <sz val="8"/>
        <color theme="1"/>
        <rFont val="Times New Roman"/>
        <family val="1"/>
      </rPr>
      <t>(1)</t>
    </r>
  </si>
  <si>
    <t>COOPERATIVA DE ELETRIFICAÇÃO RURAL</t>
  </si>
  <si>
    <t>SERVIÇO PÚBLICO DE IRRIGAÇÃO RURAL</t>
  </si>
  <si>
    <t>ILUMINAÇÃO PÚBLICA</t>
  </si>
  <si>
    <t>B4a – REDE DE DISTRIBUIÇÃO</t>
  </si>
  <si>
    <t>B4b – BULBO DE LÂMPADA</t>
  </si>
  <si>
    <r>
      <t xml:space="preserve">TABELA 3 – </t>
    </r>
    <r>
      <rPr>
        <b/>
        <sz val="10"/>
        <color rgb="FF000000"/>
        <rFont val="Times New Roman"/>
        <family val="1"/>
      </rPr>
      <t>BENEFÍCIOS TARIFÁRIOS - PERCENTUAIS DE DESCONTO</t>
    </r>
    <r>
      <rPr>
        <b/>
        <sz val="10"/>
        <color theme="1"/>
        <rFont val="Times New Roman"/>
        <family val="1"/>
      </rPr>
      <t>.</t>
    </r>
  </si>
  <si>
    <t>TUSD              R$/kW</t>
  </si>
  <si>
    <t>TUSD                        R$/MWh</t>
  </si>
  <si>
    <t>TE              R$/MWh</t>
  </si>
  <si>
    <t>TARIFA PARA APLICAÇÃO DOS DESCONTOS</t>
  </si>
  <si>
    <t>Norma Legal</t>
  </si>
  <si>
    <t>B1 - RESIDENCIAL BAIXA RENDA</t>
  </si>
  <si>
    <t>TUSD E TE DO SUBGRUPO B1 RESIDENCIAL BAIXA RENDA</t>
  </si>
  <si>
    <t xml:space="preserve">Lei nº 12.212, de 20 de janeiro de 2010;
Resolução Normativa nº 414, de 9 de setembro de 2010.
</t>
  </si>
  <si>
    <t>Consumo mensal até 30kWh</t>
  </si>
  <si>
    <t>Consumo mensal entre 31e 100kWh</t>
  </si>
  <si>
    <t>Consumo mensal entre 101e 220kWh</t>
  </si>
  <si>
    <t>Consumo mensal superior a 220kWh</t>
  </si>
  <si>
    <t>RURAL - GRUPO A</t>
  </si>
  <si>
    <t>TUSD E TE DAS MODALIDADES AZUL, VERDE E CONVENCIONAL</t>
  </si>
  <si>
    <t xml:space="preserve">Decreto 7.891, de 23 de janeiro de 2013. </t>
  </si>
  <si>
    <t>AGUA, ESGOTO E SANEAMENTO - GRUPO A</t>
  </si>
  <si>
    <t>AGUA, ESGOTO E SANEAMENTO - GRUPO B</t>
  </si>
  <si>
    <t>TUSD E TE DO SUBGRUPO B3</t>
  </si>
  <si>
    <t>Decreto 7.891, de 23 de janeiro de 2013.</t>
  </si>
  <si>
    <t>GERAÇÃO - FONTE INCENTIVADA</t>
  </si>
  <si>
    <t>TUSD GERAÇÃO</t>
  </si>
  <si>
    <t xml:space="preserve">Lei nº 9.427, de 26 de dezembro de 1996;
Resolução Normativa nº 77, de 18 de agosto de 2004;
Decreto 7.891, de 23 de janeiro de 2013.
</t>
  </si>
  <si>
    <t>CONSUMIDOR LIVRE - FONTE INCENTIVADA</t>
  </si>
  <si>
    <t>MODALIDADE AZUL: TUSD DEMANDA (R$/kW) MODALIDADE VERDE: TUSD DEMANDA (R$/kW) E TUSD ENERGIA PONTA (R$/MWh) DEDUZINDO-SE A TUSD ENERGIA FORA PONTA (R$/MWh)</t>
  </si>
  <si>
    <t>TABELA 4 – RECEITA ANUAL REFERENTE ÀS DEMAIS INSTALAÇÕES DE TRANSMISSÃO (DIT).</t>
  </si>
  <si>
    <t>Vigente no período de 23 de outubro de 2019 a 22 de outubro de 2020.</t>
  </si>
  <si>
    <t>INSTALAÇÕES DEDICADAS À</t>
  </si>
  <si>
    <t>VALOR ANUAL</t>
  </si>
  <si>
    <t>Companhia de Transmissão de Energia Elétrica Paulista – CTEEP</t>
  </si>
  <si>
    <t>EDP SP</t>
  </si>
  <si>
    <t>Interligação Pinheiros S.A. – IE Pinheiros</t>
  </si>
  <si>
    <t>TABELA 5 – SERVIÇOS COBRÁVEIS (art. 623 da REN nº 1.000/2021).</t>
  </si>
  <si>
    <t>SERVIÇOS COBRÁVEIS</t>
  </si>
  <si>
    <t>Grupo B (R$)</t>
  </si>
  <si>
    <t>Grupo A (R$)</t>
  </si>
  <si>
    <t>Monofásico</t>
  </si>
  <si>
    <t>Bifásico</t>
  </si>
  <si>
    <t>Trifásico</t>
  </si>
  <si>
    <t>I - Vistoria de unidade consumidora</t>
  </si>
  <si>
    <t>II - Aferição de medidor</t>
  </si>
  <si>
    <t>III - Verificação de nível de tensão</t>
  </si>
  <si>
    <t>IV - Religação normal</t>
  </si>
  <si>
    <t>V - Religação de urgência</t>
  </si>
  <si>
    <t>VI - Segunda via de fatura</t>
  </si>
  <si>
    <t>VII - Segunda via declaração de quitação anual de débitos</t>
  </si>
  <si>
    <t>VIII - Disponibilização dados de medição (memória de massa)</t>
  </si>
  <si>
    <t>IX - Desligamento programado</t>
  </si>
  <si>
    <t>X - Religação programada</t>
  </si>
  <si>
    <t>XI - Fornecimento pulsos potência e sincronismo</t>
  </si>
  <si>
    <t>XII - Comissionamento de obra</t>
  </si>
  <si>
    <t>XIII - Deslocamento ou Remoção de poste</t>
  </si>
  <si>
    <t xml:space="preserve">(*) </t>
  </si>
  <si>
    <t>XIV - Deslocamento ou Remoção de rede</t>
  </si>
  <si>
    <t>XV - Visita técnica</t>
  </si>
  <si>
    <t>XVI - Custo administrativo de inspeção</t>
  </si>
  <si>
    <t>(*) Objeto de orçamento específico (art. 624, inciso III, da REN nº 1.000/2021)</t>
  </si>
  <si>
    <t>TABELA 6 – PARÂMETROS PARA CÁLCULO DO ERD (art. 109 da REN nº 1.000/2021).</t>
  </si>
  <si>
    <t>SUBGRUPO TARIFÁRIO</t>
  </si>
  <si>
    <t>B2-RURAL</t>
  </si>
  <si>
    <t>B2-IRRIGANTE</t>
  </si>
  <si>
    <t>A4</t>
  </si>
  <si>
    <t>A3a</t>
  </si>
  <si>
    <t>A3</t>
  </si>
  <si>
    <t>A2</t>
  </si>
  <si>
    <t>B4a</t>
  </si>
  <si>
    <t>B4b</t>
  </si>
  <si>
    <t>K</t>
  </si>
  <si>
    <t>TUSD FIO B - FORA PONTA (R$/kW)</t>
  </si>
  <si>
    <t>WACC ANTES DOS TRIBUTOS (%)</t>
  </si>
  <si>
    <t>CARGA TRIBUTÁRIA (%)</t>
  </si>
  <si>
    <t>PARCELA B (R$)</t>
  </si>
  <si>
    <t>TAXA DE DEPRECIAÇÃO - D (%)</t>
  </si>
  <si>
    <t>OPERAÇÃO E MANUTENÇÃO - O&amp;M (R$)</t>
  </si>
  <si>
    <t>TABELA 7 – PARÂMETROS PARA CÁLCULO RESSARCIMENTO DECRETO 5.597/2005 (RESOLUÇÃO NORMATIVA nº 473/2012).</t>
  </si>
  <si>
    <t>TUSD FIO B - PONTA (R$/kW)</t>
  </si>
  <si>
    <t>PD Médio</t>
  </si>
  <si>
    <t>b</t>
  </si>
  <si>
    <t>TABELA 8 – VALOR MENSAL DA SUBVENÇÃO DA CDE PARA CUSTEAR DESCONTOS TARIFÁRIOS.</t>
  </si>
  <si>
    <t>**</t>
  </si>
  <si>
    <t>DESCRIÇÃO</t>
  </si>
  <si>
    <t>R$</t>
  </si>
  <si>
    <t>SUBSIDIO IRRIGANTE/AQUICULTOR</t>
  </si>
  <si>
    <t>SUBSIDIO RURAL</t>
  </si>
  <si>
    <t>SUBSIDIO ÁGUA, ESGOTO E SANEAMENTO</t>
  </si>
  <si>
    <t>SUBSIDIO DISTRIBUIÇÃO</t>
  </si>
  <si>
    <t>SUBSIDIO GERAÇÃO FONTE INCENTIVADA</t>
  </si>
  <si>
    <t>SUBSIDIO CARGA FONTE INCENTIVADA</t>
  </si>
  <si>
    <t>TOTAL</t>
  </si>
  <si>
    <t>TABELA 9 – REPASSE DA ELETROBRÁS À AMPLA PARA COBERTURA DA CVAenergia E DA CVAess.</t>
  </si>
  <si>
    <t>CVA energia comprada</t>
  </si>
  <si>
    <t>CVA ESS</t>
  </si>
  <si>
    <t>TABELA 9 – VALOR UNITÁRIO DO ENCARGO DA CONTA COVID APLICÁVEL A CONSUMIDORES MIGRANTES DO ACL, NOS TERMOS DO § 4º ART. 10 DA REN 885/2020 (EDP SP)</t>
  </si>
  <si>
    <t>ENCARGO</t>
  </si>
  <si>
    <t>ENCARGO (R$/MWh)</t>
  </si>
  <si>
    <t>CONTA COVID</t>
  </si>
  <si>
    <t>TODOS OS SUBGRUPOS TARIFÁRIOS</t>
  </si>
  <si>
    <t>CONTA ESCASSEZ HÍDRICA</t>
  </si>
  <si>
    <t>TABELA 10 – RECEITA ANUAL REFERENTE ÀS INSTALAÇÕES DE CONEXÃO DEDICADAS A CONSUMIDORES DO SUBGRUPO A1 (nível de tensão de 230 kV ou mais).</t>
  </si>
  <si>
    <t>NOVA</t>
  </si>
  <si>
    <t>TABELA  ? - PERCENTUAIS DE DESCONTO APLICADOS NA TUSD E TE PARA ESTABELECIMENTO DA TARIFA DE APLICAÇÃO UTILIZADA NO FATURAMENTO DA ENERGIA COMPENSADA 
ASSOCIADO AO SCEE</t>
  </si>
  <si>
    <t>Energia</t>
  </si>
  <si>
    <t>Transmissão</t>
  </si>
  <si>
    <t>Distribuição</t>
  </si>
  <si>
    <t>Setoriais</t>
  </si>
  <si>
    <t>Grupo B</t>
  </si>
  <si>
    <t>%</t>
  </si>
  <si>
    <t>B1 - Residencial</t>
  </si>
  <si>
    <t>B1 - Residencial Baixa Renda</t>
  </si>
  <si>
    <t>B2 - Rural</t>
  </si>
  <si>
    <t>B2 - Cooperativa Eletrificação Rural</t>
  </si>
  <si>
    <t>B2 - Serviço de Irrigação</t>
  </si>
  <si>
    <t>B3 - Demais Classes</t>
  </si>
  <si>
    <t>B4 - Iluminação Pública</t>
  </si>
  <si>
    <t>B4a - Rede de Distribuição</t>
  </si>
  <si>
    <t>B4b - Bulbo de Lâmpada</t>
  </si>
  <si>
    <t>Observação:  Preencher apenas a matriz em verde.
 Não colocar o sinal de %</t>
  </si>
  <si>
    <t>Perdas</t>
  </si>
  <si>
    <t>B1 - Residencial Tarifa Social</t>
  </si>
  <si>
    <t>B1CDE</t>
  </si>
  <si>
    <t>até 120 kwh - 0,00127</t>
  </si>
  <si>
    <t xml:space="preserve"> </t>
  </si>
  <si>
    <t>VIGENCIA</t>
  </si>
  <si>
    <t>TARIFA</t>
  </si>
  <si>
    <t xml:space="preserve">TARIFA ANTIGA </t>
  </si>
  <si>
    <t>TARIFA NOVA</t>
  </si>
  <si>
    <t>TARIFA PROPOR.</t>
  </si>
  <si>
    <t>ESCASSEZ</t>
  </si>
  <si>
    <t>Tusd</t>
  </si>
  <si>
    <t>TUSD + TE</t>
  </si>
  <si>
    <t>Leitura Anterior</t>
  </si>
  <si>
    <t>dias tarifa Ant.</t>
  </si>
  <si>
    <t>dias tarifa Nova</t>
  </si>
  <si>
    <t>Leitura Atual</t>
  </si>
  <si>
    <t>Fatura</t>
  </si>
  <si>
    <t>ESCASSEZ até 120 kwh</t>
  </si>
  <si>
    <t>ESCASSEZ acima 120 kwh</t>
  </si>
  <si>
    <t>COMPONENTES</t>
  </si>
  <si>
    <t>TUSD FIO B</t>
  </si>
  <si>
    <t>VALOR</t>
  </si>
  <si>
    <t>CAT TARIFA</t>
  </si>
  <si>
    <t>VALOR FORN.</t>
  </si>
  <si>
    <t>TARIFA ANT.</t>
  </si>
  <si>
    <t>TARIFA ATUAL</t>
  </si>
  <si>
    <t>TARIFA PROP.</t>
  </si>
  <si>
    <t xml:space="preserve">Tusd  </t>
  </si>
  <si>
    <t>Encargos Setoriais</t>
  </si>
  <si>
    <t>Impostos / Tributos</t>
  </si>
  <si>
    <t>Total</t>
  </si>
  <si>
    <t>Bandeira</t>
  </si>
  <si>
    <t>R$/kWh</t>
  </si>
  <si>
    <t>BAM</t>
  </si>
  <si>
    <t>BVM1</t>
  </si>
  <si>
    <t>Nº de dias tarifa Nova</t>
  </si>
  <si>
    <t>BVM2</t>
  </si>
  <si>
    <t>Nº de dias tarifa Anterior</t>
  </si>
  <si>
    <t>Escassez Hídrica</t>
  </si>
  <si>
    <t>CONSUMO</t>
  </si>
  <si>
    <t>CONSUMO BTZERO</t>
  </si>
  <si>
    <t>Unidade</t>
  </si>
  <si>
    <t>Quantidade</t>
  </si>
  <si>
    <t>Preço Unit (R$)
com tributos</t>
  </si>
  <si>
    <t>Valor Total (R$)</t>
  </si>
  <si>
    <t>PIS/COFINS
(R$)</t>
  </si>
  <si>
    <t>Base de Cálculo ICMS
(R$)</t>
  </si>
  <si>
    <t>Alíquota ICMS
(%)</t>
  </si>
  <si>
    <t>ICMS
(R$)</t>
  </si>
  <si>
    <t>Preço Unit (R$)</t>
  </si>
  <si>
    <t>Tributos</t>
  </si>
  <si>
    <t>Base de Cálc
(R$)</t>
  </si>
  <si>
    <t>Alíquota
(%)</t>
  </si>
  <si>
    <t>Valor
(R$)</t>
  </si>
  <si>
    <t>TUSD - Consumo até 120 KWh</t>
  </si>
  <si>
    <t>kWh</t>
  </si>
  <si>
    <t>PIS</t>
  </si>
  <si>
    <t>TUSD - Consumo acima 120 KWh</t>
  </si>
  <si>
    <t>COFINS</t>
  </si>
  <si>
    <t>TE - Consumo até 120 KWh</t>
  </si>
  <si>
    <t>TE - Consumo acima 120 KWh</t>
  </si>
  <si>
    <t xml:space="preserve">Adicional BAM </t>
  </si>
  <si>
    <t>Adicional BVM 1</t>
  </si>
  <si>
    <t>Adicional BVM 2</t>
  </si>
  <si>
    <t>Taxas</t>
  </si>
  <si>
    <t>CIP</t>
  </si>
  <si>
    <t>Informativo Escassez</t>
  </si>
  <si>
    <t>DESCONTO SOCIAL</t>
  </si>
  <si>
    <t>Qtde</t>
  </si>
  <si>
    <t>Consumo até 120 KWh</t>
  </si>
  <si>
    <t>Consumo acima 120 KWh</t>
  </si>
  <si>
    <t>VALOR DE FORN.</t>
  </si>
  <si>
    <t>IMPOSTOS</t>
  </si>
  <si>
    <t>Adicional Escassez Hídrica</t>
  </si>
  <si>
    <t xml:space="preserve">Base de Cálculo </t>
  </si>
  <si>
    <t xml:space="preserve">PIS </t>
  </si>
  <si>
    <t>ICMS</t>
  </si>
  <si>
    <t>PROPORCIONAL</t>
  </si>
  <si>
    <t>Adicional Escassez</t>
  </si>
  <si>
    <t>Base de Cálculo Alterada (ICMS fora da base de cálculo do PIS/COFINS)</t>
  </si>
  <si>
    <t>B1C</t>
  </si>
  <si>
    <t>TUSD - Consumo</t>
  </si>
  <si>
    <t>TE - Consumo</t>
  </si>
  <si>
    <t>Fatura B1</t>
  </si>
  <si>
    <t>Fornecimento de Energia Elétrica</t>
  </si>
  <si>
    <t>Consumo</t>
  </si>
  <si>
    <t>B1 TB</t>
  </si>
  <si>
    <t>VIGÊNCIA</t>
  </si>
  <si>
    <t>PONTA</t>
  </si>
  <si>
    <t>INTERM.</t>
  </si>
  <si>
    <t>ESCASSEZ HID. PROPORC.</t>
  </si>
  <si>
    <t>TB FIOB ESTA COM ERRO</t>
  </si>
  <si>
    <t xml:space="preserve">TUSD FIO B </t>
  </si>
  <si>
    <t>TUSD - Consumo Ponta</t>
  </si>
  <si>
    <t>TUSD - Consumo Intermediário</t>
  </si>
  <si>
    <t>TUSD - Consumo Fora Ponta</t>
  </si>
  <si>
    <t>TE - Consumo Ponta</t>
  </si>
  <si>
    <t>TE - Consumo Intermediário</t>
  </si>
  <si>
    <t>TE - Consumo Fora Ponta</t>
  </si>
  <si>
    <t>Multas</t>
  </si>
  <si>
    <t>Juros</t>
  </si>
  <si>
    <t>Bônus/Descontos</t>
  </si>
  <si>
    <t>Doações</t>
  </si>
  <si>
    <t>Fatura B1 Residencial TB</t>
  </si>
  <si>
    <t>Consumo Ponta</t>
  </si>
  <si>
    <t>Consumo Intemediário</t>
  </si>
  <si>
    <t>Consumo Fora Ponta</t>
  </si>
  <si>
    <t>Base de Cálculo</t>
  </si>
  <si>
    <t>Informativo Escassez Hídrica</t>
  </si>
  <si>
    <t>B2 RURAL</t>
  </si>
  <si>
    <t>B2 Rural</t>
  </si>
  <si>
    <t>Irrig</t>
  </si>
  <si>
    <t>Vigência das Tarifas:</t>
  </si>
  <si>
    <t>Tarifas Proporcionalizadas</t>
  </si>
  <si>
    <t>Tusd (R$/kWh)</t>
  </si>
  <si>
    <t>CDE Escassez Hídrica</t>
  </si>
  <si>
    <t>Vigência das Tarifas (troca Bandeira):</t>
  </si>
  <si>
    <t>CUSTO</t>
  </si>
  <si>
    <t>Part. TUSD (%)</t>
  </si>
  <si>
    <t>Part. TE (%)</t>
  </si>
  <si>
    <t>TE (R$/kWh)</t>
  </si>
  <si>
    <t>Altere a bandeira na célula abaixo</t>
  </si>
  <si>
    <t>CDE ESCASSEZ HÍDRICA</t>
  </si>
  <si>
    <t>desconto:</t>
  </si>
  <si>
    <t>TUSD Fio B</t>
  </si>
  <si>
    <t>Receita Fio B</t>
  </si>
  <si>
    <t>TUSD - Ativo</t>
  </si>
  <si>
    <t>TUSD - Reservado</t>
  </si>
  <si>
    <t>TE - Reservado</t>
  </si>
  <si>
    <t>Outros</t>
  </si>
  <si>
    <t>Desconto Rural Irrigante</t>
  </si>
  <si>
    <t>Se for base reduzida: (célula I18 = 12%)</t>
  </si>
  <si>
    <t>Com tributos</t>
  </si>
  <si>
    <t>x</t>
  </si>
  <si>
    <t>Rural c/ incrição</t>
  </si>
  <si>
    <t>Base de cálculo reduzida     =</t>
  </si>
  <si>
    <t>Importe</t>
  </si>
  <si>
    <t>12% x 4%</t>
  </si>
  <si>
    <t>Fatura B2 Rural Irrigação</t>
  </si>
  <si>
    <t>B1 Residencial</t>
  </si>
  <si>
    <t>Diferença</t>
  </si>
  <si>
    <t>Consumo Reservado</t>
  </si>
  <si>
    <t>Desconto Reservado</t>
  </si>
  <si>
    <t>Ex inst</t>
  </si>
  <si>
    <t>Adicional BAM PT Reservado</t>
  </si>
  <si>
    <t>Adicional BVM 1 PT Reservado</t>
  </si>
  <si>
    <t>Adicional BVM 2 PT Reservado</t>
  </si>
  <si>
    <t>Adicional Esc. Hídrica Reserv</t>
  </si>
  <si>
    <t>Desc Adicional BAM</t>
  </si>
  <si>
    <t xml:space="preserve">Desc Adicional BVM 1 </t>
  </si>
  <si>
    <t>Tarifa reservada bandeira com desconto</t>
  </si>
  <si>
    <t>Desc Adicional BVM 2</t>
  </si>
  <si>
    <t>Desc Adicional Escassez Hídrica</t>
  </si>
  <si>
    <t>(mensagem na fatura)</t>
  </si>
  <si>
    <t>Se for base reduzida: (célula E43 = 12%)</t>
  </si>
  <si>
    <t>=</t>
  </si>
  <si>
    <t>Participação</t>
  </si>
  <si>
    <t>proporcional</t>
  </si>
  <si>
    <t>TARIFA BRANCA</t>
  </si>
  <si>
    <t>B2 Ponta</t>
  </si>
  <si>
    <t>B2 Fora Ponta</t>
  </si>
  <si>
    <t>B2 Interm.</t>
  </si>
  <si>
    <t>CDE CONTAS</t>
  </si>
  <si>
    <t>-</t>
  </si>
  <si>
    <t>CDE COVID</t>
  </si>
  <si>
    <t>Fatura B2 Rural TB</t>
  </si>
  <si>
    <t>ALTERAÇÃO DA ALÍQUOTA de 25% para 17%</t>
  </si>
  <si>
    <t>SEM ISENÇÃO DE ICMS sobre a TUSD</t>
  </si>
  <si>
    <t>Benefício Rural (em relação ao B1 residencial)</t>
  </si>
  <si>
    <t>Se for base reduzida: (célula E37 = 12%)</t>
  </si>
  <si>
    <t>B1 Ponta</t>
  </si>
  <si>
    <t>B1 Fora Ponta</t>
  </si>
  <si>
    <t>B1 Interm.</t>
  </si>
  <si>
    <t>Tarifa Nova 2023</t>
  </si>
  <si>
    <t>Residencial - Tarifa Branca</t>
  </si>
  <si>
    <t>Rural - Tarifa Branca</t>
  </si>
  <si>
    <t>Comercial / Industrial - Tarifa Branca</t>
  </si>
  <si>
    <t>Residencial</t>
  </si>
  <si>
    <t>Rural</t>
  </si>
  <si>
    <t>Comercial / Industrial</t>
  </si>
  <si>
    <t>B4A</t>
  </si>
  <si>
    <t>B4B</t>
  </si>
  <si>
    <t>Baixa Renda</t>
  </si>
  <si>
    <t>Tarifa Nova 2024</t>
  </si>
  <si>
    <t>Tarifa Proporcional</t>
  </si>
  <si>
    <t>0 a 30kWh</t>
  </si>
  <si>
    <t>31 a 100kWh</t>
  </si>
  <si>
    <t>101 a 220kWh</t>
  </si>
  <si>
    <t>Acima 220kWh</t>
  </si>
  <si>
    <t>TABELA 1 - TARIFAS DE APLICAÇÃO E BASE ECONÔMICA PARA O GRUPO A</t>
  </si>
  <si>
    <t xml:space="preserve">MODALIDADE </t>
  </si>
  <si>
    <t>ACESSANTE</t>
  </si>
  <si>
    <t>TUSD FIO B (RTA 2024)</t>
  </si>
  <si>
    <t>A1</t>
  </si>
  <si>
    <t>Azul</t>
  </si>
  <si>
    <t>GERDAU (VILLARES)</t>
  </si>
  <si>
    <t>Azul APE</t>
  </si>
  <si>
    <t>Não se aplica</t>
  </si>
  <si>
    <t>Elektro</t>
  </si>
  <si>
    <t>Enel SP</t>
  </si>
  <si>
    <t>Geração</t>
  </si>
  <si>
    <t>UHE SANTA BRANCA</t>
  </si>
  <si>
    <t>UHE JAGUARI</t>
  </si>
  <si>
    <t>PCH LAVRINHAS</t>
  </si>
  <si>
    <t>PCH QUELUZ</t>
  </si>
  <si>
    <t>NOVO GERADOR</t>
  </si>
  <si>
    <t>Verde</t>
  </si>
  <si>
    <t>Verde APE</t>
  </si>
  <si>
    <t>Cedrap</t>
  </si>
  <si>
    <t>CERMC</t>
  </si>
  <si>
    <t>TABELA 2 - TARIFAS DE APLICAÇÃO E BASE ECONÔMICA PARA O GRUPO B</t>
  </si>
  <si>
    <t>TARIFAS DE APLICAÇÃO FIO B</t>
  </si>
  <si>
    <t>PRÉ-PAGAMENTO</t>
  </si>
  <si>
    <t>Residencial Tarifa Social – faixa 01</t>
  </si>
  <si>
    <t>Residencial Tarifa Social – faixa 02</t>
  </si>
  <si>
    <t>NÃO SE APLICA</t>
  </si>
  <si>
    <t>B</t>
  </si>
  <si>
    <t>TIPO 01</t>
  </si>
  <si>
    <t>TIPO 02</t>
  </si>
  <si>
    <t>RETENÇÃO IR</t>
  </si>
  <si>
    <t>B3 TB</t>
  </si>
  <si>
    <t>RETENÇÃO CSLL</t>
  </si>
  <si>
    <t>RETENÇÃO PIS/PASEP</t>
  </si>
  <si>
    <t>RETENÇÃO COFINS</t>
  </si>
  <si>
    <t>B3 AES</t>
  </si>
  <si>
    <t xml:space="preserve"> dias tarifa Nova</t>
  </si>
  <si>
    <t xml:space="preserve"> dias tarifa Anterior</t>
  </si>
  <si>
    <t>dias tarifa Anterior</t>
  </si>
  <si>
    <t xml:space="preserve"> tarifa Anterior</t>
  </si>
  <si>
    <t>tarifa Nova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</si>
</sst>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00000"/>
    <numFmt numFmtId="167" formatCode="0.0000000"/>
    <numFmt numFmtId="168" formatCode="0.00000"/>
    <numFmt numFmtId="169" formatCode="0.0000"/>
    <numFmt numFmtId="170" formatCode="0.000000"/>
    <numFmt numFmtId="171" formatCode="0.000"/>
    <numFmt numFmtId="172" formatCode="_-* #,##0.00000000_-;\-* #,##0.00000000_-;_-* &quot;-&quot;????????_-;_-@_-"/>
    <numFmt numFmtId="173" formatCode="_(* #,##0.0000_);_(* \(#,##0.0000\);_(* &quot;-&quot;??_);_(@_)"/>
    <numFmt numFmtId="174" formatCode="_-* #,##0.0000_-;\-* #,##0.0000_-;_-* &quot;-&quot;????_-;_-@_-"/>
    <numFmt numFmtId="175" formatCode="_-* #,##0.0000000_-;\-* #,##0.0000000_-;_-* &quot;-&quot;???????_-;_-@_-"/>
    <numFmt numFmtId="176" formatCode="_-* #,##0.000000_-;\-* #,##0.000000_-;_-* &quot;-&quot;??_-;_-@_-"/>
    <numFmt numFmtId="177" formatCode="_-* #,##0.00_-;\-* #,##0.00_-;_-* &quot;-&quot;????????_-;_-@_-"/>
    <numFmt numFmtId="178" formatCode="#,##0.000000;[Red]\-#,##0.000000"/>
    <numFmt numFmtId="179" formatCode="#,##0.00000000;[Red]\-#,##0.00000000"/>
    <numFmt numFmtId="180" formatCode="0.000000000"/>
    <numFmt numFmtId="181" formatCode="#,##0.00000"/>
    <numFmt numFmtId="182" formatCode="_(* #,##0.0000000_);_(* \(#,##0.0000000\);_(* &quot;-&quot;??_);_(@_)"/>
    <numFmt numFmtId="183" formatCode="_-* #,##0.0000_-;\-* #,##0.0000_-;_-* &quot;-&quot;???????_-;_-@_-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rgb="FF0000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1"/>
      <name val="Times New Roman"/>
      <family val="1"/>
    </font>
    <font>
      <sz val="8"/>
      <name val="Times New Roman"/>
      <family val="1"/>
    </font>
    <font>
      <sz val="8"/>
      <color theme="1"/>
      <name val="Times New Roman"/>
      <family val="1"/>
    </font>
    <font>
      <sz val="9"/>
      <color theme="1"/>
      <name val="Calibri"/>
      <family val="2"/>
    </font>
    <font>
      <b/>
      <sz val="8"/>
      <color theme="1"/>
      <name val="Times New Roman"/>
      <family val="1"/>
    </font>
    <font>
      <vertAlign val="superscript"/>
      <sz val="8"/>
      <color theme="1"/>
      <name val="Times New Roman"/>
      <family val="1"/>
    </font>
    <font>
      <b/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b/>
      <sz val="9"/>
      <color theme="1"/>
      <name val="Calibri"/>
      <family val="2"/>
    </font>
    <font>
      <b/>
      <sz val="8"/>
      <color theme="1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8"/>
      <name val="Century Gothic"/>
      <family val="2"/>
    </font>
    <font>
      <b/>
      <sz val="10"/>
      <name val="Century Gothic"/>
      <family val="2"/>
    </font>
    <font>
      <sz val="10"/>
      <name val="Century Gothic"/>
      <family val="2"/>
    </font>
    <font>
      <sz val="8"/>
      <name val="Century Gothic"/>
      <family val="2"/>
    </font>
    <font>
      <b/>
      <sz val="16"/>
      <color theme="1"/>
      <name val="Times New Roman"/>
      <family val="1"/>
    </font>
    <font>
      <b/>
      <sz val="10"/>
      <color indexed="12"/>
      <name val="Arial"/>
      <family val="2"/>
    </font>
    <font>
      <sz val="8"/>
      <color theme="1"/>
      <name val="Century Gothic"/>
      <family val="2"/>
    </font>
    <font>
      <sz val="8"/>
      <name val="Arial"/>
      <family val="2"/>
    </font>
    <font>
      <b/>
      <sz val="8"/>
      <color rgb="FF000000"/>
      <name val="Times New Roman"/>
      <family val="1"/>
    </font>
    <font>
      <sz val="8"/>
      <color rgb="FF000000"/>
      <name val="Times New Roman"/>
      <family val="1"/>
    </font>
    <font>
      <b/>
      <sz val="8"/>
      <name val="Times New Roman"/>
      <family val="1"/>
    </font>
    <font>
      <sz val="8"/>
      <color theme="0"/>
      <name val="Arial"/>
      <family val="2"/>
    </font>
    <font>
      <b/>
      <sz val="10"/>
      <color rgb="FF000000"/>
      <name val="Times New Roman"/>
      <family val="1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sz val="9"/>
      <color theme="1"/>
      <name val="Times New Roman"/>
      <family val="1"/>
    </font>
    <font>
      <sz val="11"/>
      <color rgb="FF000000"/>
      <name val="Times New Roman"/>
      <family val="1"/>
    </font>
    <font>
      <sz val="9"/>
      <color rgb="FF000000"/>
      <name val="Calibri"/>
      <family val="2"/>
      <scheme val="minor"/>
    </font>
    <font>
      <sz val="8.5"/>
      <color rgb="FF000000"/>
      <name val="Calibri"/>
      <family val="2"/>
      <scheme val="minor"/>
    </font>
    <font>
      <sz val="9"/>
      <color rgb="FF000000"/>
      <name val="Times New Roman"/>
      <family val="1"/>
    </font>
    <font>
      <sz val="8"/>
      <color rgb="FF000000"/>
      <name val="Symbol"/>
      <family val="1"/>
      <charset val="2"/>
    </font>
    <font>
      <b/>
      <sz val="10"/>
      <color rgb="FF7030A0"/>
      <name val="Times New Roman"/>
      <family val="1"/>
    </font>
    <font>
      <sz val="10"/>
      <name val="Times New Roman"/>
      <family val="1"/>
    </font>
    <font>
      <b/>
      <sz val="16"/>
      <color theme="1"/>
      <name val="Calibri"/>
      <family val="2"/>
      <scheme val="minor"/>
    </font>
    <font>
      <b/>
      <sz val="11"/>
      <color theme="1"/>
      <name val="Arial"/>
      <family val="2"/>
    </font>
    <font>
      <sz val="16"/>
      <color theme="1"/>
      <name val="Calibri"/>
      <family val="2"/>
      <scheme val="minor"/>
    </font>
    <font>
      <sz val="8"/>
      <color theme="1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D1EB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hair">
        <color indexed="12"/>
      </bottom>
      <diagonal/>
    </border>
    <border>
      <left style="thin">
        <color indexed="12"/>
      </left>
      <right style="thin">
        <color indexed="12"/>
      </right>
      <top/>
      <bottom style="hair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12"/>
      </left>
      <right style="thin">
        <color indexed="12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37" fontId="2" fillId="0" borderId="0"/>
    <xf numFmtId="165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2" fillId="0" borderId="0"/>
    <xf numFmtId="43" fontId="3" fillId="0" borderId="0" applyFont="0" applyFill="0" applyBorder="0" applyAlignment="0" applyProtection="0"/>
    <xf numFmtId="0" fontId="38" fillId="0" borderId="0"/>
  </cellStyleXfs>
  <cellXfs count="82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/>
    <xf numFmtId="4" fontId="0" fillId="2" borderId="0" xfId="0" applyNumberFormat="1" applyFill="1"/>
    <xf numFmtId="10" fontId="16" fillId="0" borderId="6" xfId="5" applyNumberFormat="1" applyFont="1" applyFill="1" applyBorder="1" applyAlignment="1">
      <alignment horizontal="right" vertical="center"/>
    </xf>
    <xf numFmtId="10" fontId="16" fillId="6" borderId="6" xfId="5" quotePrefix="1" applyNumberFormat="1" applyFont="1" applyFill="1" applyBorder="1" applyAlignment="1">
      <alignment horizontal="right" vertical="center"/>
    </xf>
    <xf numFmtId="10" fontId="16" fillId="0" borderId="6" xfId="5" quotePrefix="1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19" fillId="4" borderId="5" xfId="0" applyFont="1" applyFill="1" applyBorder="1" applyAlignment="1">
      <alignment horizontal="center" vertical="center"/>
    </xf>
    <xf numFmtId="168" fontId="18" fillId="4" borderId="12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6" fillId="0" borderId="4" xfId="0" applyFont="1" applyBorder="1" applyAlignment="1">
      <alignment horizontal="center" vertical="center"/>
    </xf>
    <xf numFmtId="168" fontId="6" fillId="0" borderId="4" xfId="0" applyNumberFormat="1" applyFont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 wrapText="1"/>
    </xf>
    <xf numFmtId="0" fontId="25" fillId="11" borderId="3" xfId="0" applyFont="1" applyFill="1" applyBorder="1" applyAlignment="1">
      <alignment horizontal="center" vertical="center" wrapText="1"/>
    </xf>
    <xf numFmtId="0" fontId="25" fillId="6" borderId="3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center" vertical="center"/>
    </xf>
    <xf numFmtId="0" fontId="22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14" fillId="2" borderId="0" xfId="0" applyFont="1" applyFill="1" applyAlignment="1">
      <alignment vertical="center"/>
    </xf>
    <xf numFmtId="14" fontId="20" fillId="5" borderId="4" xfId="0" applyNumberFormat="1" applyFont="1" applyFill="1" applyBorder="1" applyAlignment="1">
      <alignment horizontal="center" vertical="center"/>
    </xf>
    <xf numFmtId="3" fontId="6" fillId="2" borderId="4" xfId="0" applyNumberFormat="1" applyFont="1" applyFill="1" applyBorder="1" applyAlignment="1">
      <alignment horizontal="center" vertical="center"/>
    </xf>
    <xf numFmtId="14" fontId="15" fillId="2" borderId="4" xfId="0" applyNumberFormat="1" applyFont="1" applyFill="1" applyBorder="1" applyAlignment="1">
      <alignment horizontal="center" vertical="center"/>
    </xf>
    <xf numFmtId="3" fontId="15" fillId="2" borderId="4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6" fillId="0" borderId="0" xfId="0" applyNumberFormat="1" applyFont="1" applyAlignment="1">
      <alignment vertical="center"/>
    </xf>
    <xf numFmtId="0" fontId="5" fillId="2" borderId="0" xfId="0" applyFont="1" applyFill="1" applyAlignment="1">
      <alignment vertical="center"/>
    </xf>
    <xf numFmtId="0" fontId="0" fillId="2" borderId="22" xfId="0" applyFill="1" applyBorder="1" applyAlignment="1">
      <alignment vertical="center"/>
    </xf>
    <xf numFmtId="0" fontId="0" fillId="2" borderId="23" xfId="0" applyFill="1" applyBorder="1" applyAlignment="1">
      <alignment horizontal="right" vertical="center"/>
    </xf>
    <xf numFmtId="164" fontId="10" fillId="2" borderId="0" xfId="4" applyFont="1" applyFill="1" applyBorder="1" applyAlignment="1">
      <alignment vertical="center"/>
    </xf>
    <xf numFmtId="166" fontId="0" fillId="0" borderId="0" xfId="0" applyNumberFormat="1" applyAlignment="1">
      <alignment vertical="center"/>
    </xf>
    <xf numFmtId="4" fontId="0" fillId="2" borderId="23" xfId="0" applyNumberFormat="1" applyFill="1" applyBorder="1" applyAlignment="1">
      <alignment vertical="center"/>
    </xf>
    <xf numFmtId="166" fontId="0" fillId="2" borderId="0" xfId="0" applyNumberFormat="1" applyFill="1" applyAlignment="1">
      <alignment vertical="center"/>
    </xf>
    <xf numFmtId="167" fontId="0" fillId="2" borderId="0" xfId="0" applyNumberFormat="1" applyFill="1" applyAlignment="1">
      <alignment vertical="center"/>
    </xf>
    <xf numFmtId="0" fontId="10" fillId="2" borderId="0" xfId="0" applyFont="1" applyFill="1" applyAlignment="1">
      <alignment vertical="center"/>
    </xf>
    <xf numFmtId="0" fontId="0" fillId="2" borderId="23" xfId="0" applyFill="1" applyBorder="1" applyAlignment="1">
      <alignment vertical="center"/>
    </xf>
    <xf numFmtId="164" fontId="11" fillId="2" borderId="0" xfId="4" applyFont="1" applyFill="1" applyBorder="1" applyAlignment="1">
      <alignment vertical="center"/>
    </xf>
    <xf numFmtId="168" fontId="0" fillId="2" borderId="0" xfId="0" applyNumberFormat="1" applyFill="1" applyAlignment="1">
      <alignment vertical="center"/>
    </xf>
    <xf numFmtId="0" fontId="11" fillId="2" borderId="0" xfId="0" applyFont="1" applyFill="1" applyAlignment="1">
      <alignment vertical="center"/>
    </xf>
    <xf numFmtId="0" fontId="14" fillId="2" borderId="22" xfId="0" applyFont="1" applyFill="1" applyBorder="1" applyAlignment="1">
      <alignment vertical="center"/>
    </xf>
    <xf numFmtId="4" fontId="14" fillId="2" borderId="23" xfId="0" applyNumberFormat="1" applyFont="1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0" fillId="2" borderId="25" xfId="0" applyFill="1" applyBorder="1" applyAlignment="1">
      <alignment vertical="center"/>
    </xf>
    <xf numFmtId="164" fontId="10" fillId="2" borderId="25" xfId="4" applyFont="1" applyFill="1" applyBorder="1" applyAlignment="1">
      <alignment vertical="center"/>
    </xf>
    <xf numFmtId="170" fontId="0" fillId="2" borderId="25" xfId="0" applyNumberFormat="1" applyFill="1" applyBorder="1" applyAlignment="1">
      <alignment vertical="center"/>
    </xf>
    <xf numFmtId="4" fontId="0" fillId="2" borderId="11" xfId="0" applyNumberForma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4" fontId="5" fillId="2" borderId="23" xfId="0" applyNumberFormat="1" applyFont="1" applyFill="1" applyBorder="1" applyAlignment="1">
      <alignment vertical="center"/>
    </xf>
    <xf numFmtId="4" fontId="5" fillId="2" borderId="0" xfId="0" applyNumberFormat="1" applyFont="1" applyFill="1" applyAlignment="1">
      <alignment vertical="center"/>
    </xf>
    <xf numFmtId="4" fontId="0" fillId="2" borderId="0" xfId="0" applyNumberFormat="1" applyFill="1" applyAlignment="1">
      <alignment vertical="center"/>
    </xf>
    <xf numFmtId="0" fontId="0" fillId="2" borderId="11" xfId="0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4" xfId="0" applyFont="1" applyFill="1" applyBorder="1" applyAlignment="1">
      <alignment vertical="center"/>
    </xf>
    <xf numFmtId="0" fontId="8" fillId="2" borderId="4" xfId="0" applyFont="1" applyFill="1" applyBorder="1" applyAlignment="1">
      <alignment horizontal="center" vertical="center"/>
    </xf>
    <xf numFmtId="164" fontId="6" fillId="2" borderId="4" xfId="4" applyFont="1" applyFill="1" applyBorder="1" applyAlignment="1">
      <alignment vertical="center"/>
    </xf>
    <xf numFmtId="43" fontId="6" fillId="2" borderId="4" xfId="0" applyNumberFormat="1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164" fontId="8" fillId="2" borderId="4" xfId="0" applyNumberFormat="1" applyFont="1" applyFill="1" applyBorder="1" applyAlignment="1">
      <alignment vertical="center"/>
    </xf>
    <xf numFmtId="10" fontId="6" fillId="0" borderId="0" xfId="0" applyNumberFormat="1" applyFont="1" applyAlignment="1">
      <alignment vertical="center"/>
    </xf>
    <xf numFmtId="0" fontId="6" fillId="9" borderId="0" xfId="0" applyFont="1" applyFill="1" applyAlignment="1">
      <alignment vertical="center"/>
    </xf>
    <xf numFmtId="170" fontId="0" fillId="2" borderId="0" xfId="0" applyNumberFormat="1" applyFill="1" applyAlignment="1">
      <alignment vertical="center"/>
    </xf>
    <xf numFmtId="0" fontId="0" fillId="2" borderId="8" xfId="0" applyFill="1" applyBorder="1" applyAlignment="1">
      <alignment vertical="center"/>
    </xf>
    <xf numFmtId="4" fontId="0" fillId="0" borderId="10" xfId="0" applyNumberFormat="1" applyBorder="1" applyAlignment="1">
      <alignment vertical="center"/>
    </xf>
    <xf numFmtId="9" fontId="10" fillId="6" borderId="0" xfId="0" applyNumberFormat="1" applyFont="1" applyFill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4" fontId="5" fillId="0" borderId="12" xfId="0" applyNumberFormat="1" applyFont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164" fontId="0" fillId="0" borderId="0" xfId="4" applyFont="1" applyAlignment="1">
      <alignment vertical="center"/>
    </xf>
    <xf numFmtId="164" fontId="5" fillId="0" borderId="0" xfId="4" applyFont="1" applyFill="1" applyAlignment="1">
      <alignment vertical="center"/>
    </xf>
    <xf numFmtId="164" fontId="5" fillId="6" borderId="0" xfId="4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164" fontId="0" fillId="0" borderId="7" xfId="0" applyNumberFormat="1" applyBorder="1" applyAlignment="1">
      <alignment vertical="center"/>
    </xf>
    <xf numFmtId="164" fontId="0" fillId="0" borderId="0" xfId="0" applyNumberFormat="1" applyAlignment="1">
      <alignment vertical="center"/>
    </xf>
    <xf numFmtId="164" fontId="5" fillId="6" borderId="0" xfId="0" applyNumberFormat="1" applyFont="1" applyFill="1" applyAlignment="1">
      <alignment vertical="center"/>
    </xf>
    <xf numFmtId="14" fontId="6" fillId="2" borderId="0" xfId="0" applyNumberFormat="1" applyFont="1" applyFill="1" applyAlignment="1">
      <alignment vertical="center"/>
    </xf>
    <xf numFmtId="0" fontId="0" fillId="2" borderId="23" xfId="0" applyFill="1" applyBorder="1" applyAlignment="1">
      <alignment horizontal="center" vertical="center"/>
    </xf>
    <xf numFmtId="9" fontId="8" fillId="15" borderId="0" xfId="0" applyNumberFormat="1" applyFont="1" applyFill="1" applyAlignment="1">
      <alignment vertical="center"/>
    </xf>
    <xf numFmtId="43" fontId="0" fillId="0" borderId="0" xfId="0" applyNumberFormat="1" applyAlignment="1">
      <alignment vertical="center"/>
    </xf>
    <xf numFmtId="170" fontId="6" fillId="0" borderId="4" xfId="1" applyNumberFormat="1" applyFont="1" applyBorder="1" applyAlignment="1">
      <alignment vertical="center"/>
    </xf>
    <xf numFmtId="0" fontId="12" fillId="5" borderId="4" xfId="1" applyFont="1" applyFill="1" applyBorder="1" applyAlignment="1">
      <alignment horizontal="center" vertical="center"/>
    </xf>
    <xf numFmtId="0" fontId="12" fillId="3" borderId="4" xfId="1" applyFont="1" applyFill="1" applyBorder="1" applyAlignment="1">
      <alignment horizontal="center" vertical="center"/>
    </xf>
    <xf numFmtId="170" fontId="6" fillId="6" borderId="4" xfId="1" applyNumberFormat="1" applyFont="1" applyFill="1" applyBorder="1" applyAlignment="1">
      <alignment vertical="center"/>
    </xf>
    <xf numFmtId="170" fontId="6" fillId="0" borderId="4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9" xfId="0" applyFill="1" applyBorder="1" applyAlignment="1">
      <alignment vertical="center"/>
    </xf>
    <xf numFmtId="0" fontId="5" fillId="0" borderId="1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17" fontId="20" fillId="3" borderId="23" xfId="0" quotePrefix="1" applyNumberFormat="1" applyFont="1" applyFill="1" applyBorder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1" xfId="0" applyBorder="1" applyAlignment="1">
      <alignment vertical="center"/>
    </xf>
    <xf numFmtId="0" fontId="5" fillId="16" borderId="22" xfId="0" applyFont="1" applyFill="1" applyBorder="1" applyAlignment="1">
      <alignment vertical="center"/>
    </xf>
    <xf numFmtId="0" fontId="5" fillId="16" borderId="0" xfId="0" applyFont="1" applyFill="1" applyAlignment="1">
      <alignment vertical="center"/>
    </xf>
    <xf numFmtId="0" fontId="5" fillId="16" borderId="0" xfId="0" applyFont="1" applyFill="1" applyAlignment="1">
      <alignment horizontal="center" vertical="center"/>
    </xf>
    <xf numFmtId="4" fontId="5" fillId="16" borderId="23" xfId="0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167" fontId="6" fillId="6" borderId="0" xfId="0" applyNumberFormat="1" applyFont="1" applyFill="1" applyAlignment="1">
      <alignment vertical="center"/>
    </xf>
    <xf numFmtId="4" fontId="6" fillId="2" borderId="0" xfId="0" applyNumberFormat="1" applyFont="1" applyFill="1" applyAlignment="1">
      <alignment vertical="center"/>
    </xf>
    <xf numFmtId="14" fontId="13" fillId="15" borderId="4" xfId="0" applyNumberFormat="1" applyFont="1" applyFill="1" applyBorder="1" applyAlignment="1">
      <alignment horizontal="center" vertical="center"/>
    </xf>
    <xf numFmtId="164" fontId="10" fillId="15" borderId="0" xfId="4" applyFont="1" applyFill="1" applyBorder="1" applyAlignment="1">
      <alignment vertical="center"/>
    </xf>
    <xf numFmtId="0" fontId="17" fillId="6" borderId="5" xfId="0" applyFont="1" applyFill="1" applyBorder="1" applyAlignment="1">
      <alignment horizontal="center" vertical="center"/>
    </xf>
    <xf numFmtId="168" fontId="6" fillId="6" borderId="4" xfId="0" applyNumberFormat="1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 vertical="center"/>
    </xf>
    <xf numFmtId="168" fontId="18" fillId="17" borderId="4" xfId="0" applyNumberFormat="1" applyFont="1" applyFill="1" applyBorder="1" applyAlignment="1">
      <alignment horizontal="center" vertical="center"/>
    </xf>
    <xf numFmtId="0" fontId="8" fillId="15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168" fontId="18" fillId="18" borderId="12" xfId="0" applyNumberFormat="1" applyFont="1" applyFill="1" applyBorder="1" applyAlignment="1">
      <alignment horizontal="center" vertical="center"/>
    </xf>
    <xf numFmtId="4" fontId="0" fillId="0" borderId="0" xfId="0" applyNumberFormat="1"/>
    <xf numFmtId="4" fontId="0" fillId="6" borderId="0" xfId="0" applyNumberFormat="1" applyFill="1" applyAlignment="1">
      <alignment vertical="center"/>
    </xf>
    <xf numFmtId="0" fontId="5" fillId="6" borderId="0" xfId="0" applyFont="1" applyFill="1" applyAlignment="1">
      <alignment vertical="center"/>
    </xf>
    <xf numFmtId="43" fontId="0" fillId="2" borderId="0" xfId="0" applyNumberFormat="1" applyFill="1" applyAlignment="1">
      <alignment vertical="center"/>
    </xf>
    <xf numFmtId="0" fontId="8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170" fontId="6" fillId="6" borderId="0" xfId="0" applyNumberFormat="1" applyFont="1" applyFill="1" applyAlignment="1">
      <alignment vertical="center"/>
    </xf>
    <xf numFmtId="43" fontId="0" fillId="6" borderId="0" xfId="0" applyNumberFormat="1" applyFill="1" applyAlignment="1">
      <alignment vertical="center"/>
    </xf>
    <xf numFmtId="4" fontId="0" fillId="19" borderId="0" xfId="0" applyNumberFormat="1" applyFill="1" applyAlignment="1">
      <alignment vertical="center"/>
    </xf>
    <xf numFmtId="2" fontId="0" fillId="0" borderId="0" xfId="0" applyNumberFormat="1" applyAlignment="1">
      <alignment vertical="center"/>
    </xf>
    <xf numFmtId="4" fontId="14" fillId="6" borderId="0" xfId="0" applyNumberFormat="1" applyFont="1" applyFill="1" applyAlignment="1">
      <alignment vertical="center"/>
    </xf>
    <xf numFmtId="0" fontId="31" fillId="2" borderId="0" xfId="0" applyFont="1" applyFill="1" applyAlignment="1">
      <alignment vertical="center"/>
    </xf>
    <xf numFmtId="10" fontId="10" fillId="15" borderId="0" xfId="0" applyNumberFormat="1" applyFont="1" applyFill="1" applyAlignment="1">
      <alignment vertical="center"/>
    </xf>
    <xf numFmtId="167" fontId="0" fillId="0" borderId="0" xfId="0" applyNumberFormat="1" applyAlignment="1">
      <alignment vertical="center"/>
    </xf>
    <xf numFmtId="164" fontId="29" fillId="15" borderId="0" xfId="4" applyFont="1" applyFill="1" applyBorder="1" applyAlignment="1">
      <alignment vertical="center"/>
    </xf>
    <xf numFmtId="164" fontId="13" fillId="15" borderId="0" xfId="4" applyFont="1" applyFill="1" applyBorder="1" applyAlignment="1">
      <alignment vertical="center"/>
    </xf>
    <xf numFmtId="4" fontId="6" fillId="15" borderId="0" xfId="0" applyNumberFormat="1" applyFont="1" applyFill="1" applyAlignment="1">
      <alignment vertical="center"/>
    </xf>
    <xf numFmtId="166" fontId="6" fillId="15" borderId="0" xfId="0" applyNumberFormat="1" applyFont="1" applyFill="1" applyAlignment="1">
      <alignment vertical="center"/>
    </xf>
    <xf numFmtId="170" fontId="6" fillId="0" borderId="4" xfId="1" applyNumberFormat="1" applyFont="1" applyBorder="1" applyAlignment="1">
      <alignment horizontal="left" vertical="center"/>
    </xf>
    <xf numFmtId="0" fontId="12" fillId="5" borderId="26" xfId="1" applyFont="1" applyFill="1" applyBorder="1" applyAlignment="1">
      <alignment horizontal="center" vertical="center"/>
    </xf>
    <xf numFmtId="170" fontId="6" fillId="0" borderId="26" xfId="1" applyNumberFormat="1" applyFont="1" applyBorder="1" applyAlignment="1">
      <alignment vertical="center"/>
    </xf>
    <xf numFmtId="10" fontId="8" fillId="0" borderId="26" xfId="5" applyNumberFormat="1" applyFont="1" applyFill="1" applyBorder="1" applyAlignment="1">
      <alignment vertical="center"/>
    </xf>
    <xf numFmtId="0" fontId="12" fillId="12" borderId="27" xfId="0" applyFont="1" applyFill="1" applyBorder="1" applyAlignment="1">
      <alignment horizontal="left" vertical="center"/>
    </xf>
    <xf numFmtId="0" fontId="12" fillId="12" borderId="28" xfId="0" applyFont="1" applyFill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0" fontId="8" fillId="0" borderId="28" xfId="0" applyFont="1" applyBorder="1" applyAlignment="1">
      <alignment horizontal="center" vertical="center"/>
    </xf>
    <xf numFmtId="172" fontId="0" fillId="2" borderId="0" xfId="0" applyNumberFormat="1" applyFill="1" applyAlignment="1">
      <alignment vertical="center"/>
    </xf>
    <xf numFmtId="170" fontId="8" fillId="6" borderId="26" xfId="1" applyNumberFormat="1" applyFont="1" applyFill="1" applyBorder="1" applyAlignment="1">
      <alignment vertical="center"/>
    </xf>
    <xf numFmtId="170" fontId="6" fillId="6" borderId="26" xfId="1" applyNumberFormat="1" applyFont="1" applyFill="1" applyBorder="1" applyAlignment="1">
      <alignment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0" fillId="2" borderId="29" xfId="0" applyFill="1" applyBorder="1" applyAlignment="1">
      <alignment vertical="center"/>
    </xf>
    <xf numFmtId="0" fontId="0" fillId="2" borderId="29" xfId="0" applyFill="1" applyBorder="1" applyAlignment="1">
      <alignment horizontal="center" vertical="center"/>
    </xf>
    <xf numFmtId="10" fontId="10" fillId="15" borderId="29" xfId="0" applyNumberFormat="1" applyFont="1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9" fontId="30" fillId="6" borderId="29" xfId="0" applyNumberFormat="1" applyFont="1" applyFill="1" applyBorder="1" applyAlignment="1">
      <alignment vertical="center"/>
    </xf>
    <xf numFmtId="164" fontId="0" fillId="2" borderId="29" xfId="0" applyNumberForma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166" fontId="0" fillId="2" borderId="29" xfId="0" applyNumberFormat="1" applyFill="1" applyBorder="1" applyAlignment="1">
      <alignment vertical="center"/>
    </xf>
    <xf numFmtId="164" fontId="5" fillId="21" borderId="5" xfId="0" applyNumberFormat="1" applyFont="1" applyFill="1" applyBorder="1" applyAlignment="1">
      <alignment vertical="center"/>
    </xf>
    <xf numFmtId="10" fontId="0" fillId="2" borderId="0" xfId="0" applyNumberFormat="1" applyFill="1" applyAlignment="1">
      <alignment vertical="center"/>
    </xf>
    <xf numFmtId="9" fontId="0" fillId="2" borderId="0" xfId="0" applyNumberFormat="1" applyFill="1" applyAlignment="1">
      <alignment vertical="center"/>
    </xf>
    <xf numFmtId="164" fontId="5" fillId="2" borderId="5" xfId="0" applyNumberFormat="1" applyFont="1" applyFill="1" applyBorder="1" applyAlignment="1">
      <alignment vertical="center"/>
    </xf>
    <xf numFmtId="43" fontId="0" fillId="2" borderId="29" xfId="0" applyNumberFormat="1" applyFill="1" applyBorder="1" applyAlignment="1">
      <alignment vertical="center"/>
    </xf>
    <xf numFmtId="164" fontId="5" fillId="5" borderId="5" xfId="0" applyNumberFormat="1" applyFont="1" applyFill="1" applyBorder="1" applyAlignment="1">
      <alignment vertical="center"/>
    </xf>
    <xf numFmtId="164" fontId="5" fillId="5" borderId="29" xfId="0" applyNumberFormat="1" applyFont="1" applyFill="1" applyBorder="1" applyAlignment="1">
      <alignment vertical="center"/>
    </xf>
    <xf numFmtId="10" fontId="16" fillId="5" borderId="6" xfId="5" quotePrefix="1" applyNumberFormat="1" applyFont="1" applyFill="1" applyBorder="1" applyAlignment="1">
      <alignment horizontal="right" vertical="center"/>
    </xf>
    <xf numFmtId="164" fontId="12" fillId="8" borderId="0" xfId="4" applyFont="1" applyFill="1" applyBorder="1" applyAlignment="1">
      <alignment vertical="center"/>
    </xf>
    <xf numFmtId="4" fontId="15" fillId="8" borderId="0" xfId="0" applyNumberFormat="1" applyFont="1" applyFill="1" applyAlignment="1">
      <alignment vertical="center"/>
    </xf>
    <xf numFmtId="166" fontId="15" fillId="8" borderId="0" xfId="0" applyNumberFormat="1" applyFont="1" applyFill="1" applyAlignment="1">
      <alignment vertical="center"/>
    </xf>
    <xf numFmtId="1" fontId="0" fillId="0" borderId="0" xfId="0" applyNumberFormat="1" applyAlignment="1">
      <alignment vertical="center"/>
    </xf>
    <xf numFmtId="173" fontId="0" fillId="2" borderId="29" xfId="0" applyNumberFormat="1" applyFill="1" applyBorder="1" applyAlignment="1">
      <alignment vertical="center"/>
    </xf>
    <xf numFmtId="173" fontId="0" fillId="2" borderId="5" xfId="0" applyNumberFormat="1" applyFill="1" applyBorder="1" applyAlignment="1">
      <alignment vertical="center"/>
    </xf>
    <xf numFmtId="174" fontId="0" fillId="2" borderId="0" xfId="0" applyNumberFormat="1" applyFill="1" applyAlignment="1">
      <alignment vertical="center"/>
    </xf>
    <xf numFmtId="2" fontId="0" fillId="2" borderId="0" xfId="0" applyNumberFormat="1" applyFill="1" applyAlignment="1">
      <alignment vertical="center"/>
    </xf>
    <xf numFmtId="172" fontId="0" fillId="6" borderId="0" xfId="0" applyNumberFormat="1" applyFill="1" applyAlignment="1">
      <alignment vertical="center"/>
    </xf>
    <xf numFmtId="164" fontId="12" fillId="8" borderId="15" xfId="4" applyFont="1" applyFill="1" applyBorder="1" applyAlignment="1">
      <alignment vertical="center"/>
    </xf>
    <xf numFmtId="4" fontId="15" fillId="8" borderId="16" xfId="0" applyNumberFormat="1" applyFont="1" applyFill="1" applyBorder="1" applyAlignment="1">
      <alignment vertical="center"/>
    </xf>
    <xf numFmtId="166" fontId="15" fillId="8" borderId="16" xfId="0" applyNumberFormat="1" applyFont="1" applyFill="1" applyBorder="1" applyAlignment="1">
      <alignment vertical="center"/>
    </xf>
    <xf numFmtId="164" fontId="12" fillId="6" borderId="17" xfId="4" applyFont="1" applyFill="1" applyBorder="1" applyAlignment="1">
      <alignment vertical="center"/>
    </xf>
    <xf numFmtId="4" fontId="5" fillId="6" borderId="17" xfId="0" applyNumberFormat="1" applyFont="1" applyFill="1" applyBorder="1" applyAlignment="1">
      <alignment vertical="center"/>
    </xf>
    <xf numFmtId="0" fontId="0" fillId="0" borderId="30" xfId="0" applyBorder="1" applyAlignment="1">
      <alignment horizontal="center"/>
    </xf>
    <xf numFmtId="0" fontId="5" fillId="6" borderId="30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8" fillId="13" borderId="27" xfId="0" applyFont="1" applyFill="1" applyBorder="1" applyAlignment="1">
      <alignment horizontal="left" vertical="center"/>
    </xf>
    <xf numFmtId="0" fontId="8" fillId="13" borderId="28" xfId="0" applyFont="1" applyFill="1" applyBorder="1" applyAlignment="1">
      <alignment horizontal="center" vertical="center"/>
    </xf>
    <xf numFmtId="10" fontId="8" fillId="13" borderId="26" xfId="5" applyNumberFormat="1" applyFont="1" applyFill="1" applyBorder="1" applyAlignment="1">
      <alignment vertical="center"/>
    </xf>
    <xf numFmtId="170" fontId="8" fillId="13" borderId="26" xfId="1" applyNumberFormat="1" applyFont="1" applyFill="1" applyBorder="1" applyAlignment="1">
      <alignment vertical="center"/>
    </xf>
    <xf numFmtId="0" fontId="6" fillId="0" borderId="27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/>
    </xf>
    <xf numFmtId="10" fontId="6" fillId="0" borderId="26" xfId="5" applyNumberFormat="1" applyFont="1" applyFill="1" applyBorder="1" applyAlignment="1">
      <alignment vertical="center"/>
    </xf>
    <xf numFmtId="170" fontId="6" fillId="0" borderId="0" xfId="0" applyNumberFormat="1" applyFont="1" applyAlignment="1">
      <alignment vertical="center"/>
    </xf>
    <xf numFmtId="0" fontId="0" fillId="0" borderId="23" xfId="0" applyBorder="1" applyAlignment="1">
      <alignment horizontal="center" vertical="center"/>
    </xf>
    <xf numFmtId="164" fontId="0" fillId="0" borderId="29" xfId="0" applyNumberFormat="1" applyBorder="1" applyAlignment="1">
      <alignment vertical="center"/>
    </xf>
    <xf numFmtId="10" fontId="10" fillId="0" borderId="29" xfId="0" applyNumberFormat="1" applyFont="1" applyBorder="1" applyAlignment="1">
      <alignment vertical="center"/>
    </xf>
    <xf numFmtId="164" fontId="5" fillId="0" borderId="29" xfId="0" applyNumberFormat="1" applyFont="1" applyBorder="1" applyAlignment="1">
      <alignment vertical="center"/>
    </xf>
    <xf numFmtId="10" fontId="0" fillId="0" borderId="0" xfId="0" applyNumberFormat="1" applyAlignment="1">
      <alignment vertical="center"/>
    </xf>
    <xf numFmtId="172" fontId="0" fillId="0" borderId="0" xfId="0" applyNumberFormat="1" applyAlignment="1">
      <alignment vertical="center"/>
    </xf>
    <xf numFmtId="9" fontId="0" fillId="0" borderId="0" xfId="0" applyNumberFormat="1" applyAlignment="1">
      <alignment vertical="center"/>
    </xf>
    <xf numFmtId="166" fontId="0" fillId="6" borderId="0" xfId="0" applyNumberFormat="1" applyFill="1" applyAlignment="1">
      <alignment vertical="center"/>
    </xf>
    <xf numFmtId="175" fontId="0" fillId="0" borderId="0" xfId="0" applyNumberFormat="1" applyAlignment="1">
      <alignment vertical="center"/>
    </xf>
    <xf numFmtId="43" fontId="0" fillId="19" borderId="0" xfId="0" applyNumberFormat="1" applyFill="1" applyAlignment="1">
      <alignment vertical="center"/>
    </xf>
    <xf numFmtId="10" fontId="10" fillId="2" borderId="0" xfId="0" applyNumberFormat="1" applyFont="1" applyFill="1" applyAlignment="1">
      <alignment vertical="center"/>
    </xf>
    <xf numFmtId="14" fontId="15" fillId="2" borderId="0" xfId="0" applyNumberFormat="1" applyFont="1" applyFill="1" applyAlignment="1">
      <alignment horizontal="center" vertical="center"/>
    </xf>
    <xf numFmtId="3" fontId="15" fillId="2" borderId="0" xfId="0" applyNumberFormat="1" applyFont="1" applyFill="1" applyAlignment="1">
      <alignment horizontal="center" vertical="center"/>
    </xf>
    <xf numFmtId="9" fontId="30" fillId="15" borderId="29" xfId="4" applyNumberFormat="1" applyFont="1" applyFill="1" applyBorder="1" applyAlignment="1">
      <alignment vertical="center"/>
    </xf>
    <xf numFmtId="0" fontId="0" fillId="2" borderId="0" xfId="0" applyFill="1" applyAlignment="1">
      <alignment horizontal="right"/>
    </xf>
    <xf numFmtId="167" fontId="0" fillId="6" borderId="0" xfId="0" applyNumberFormat="1" applyFill="1"/>
    <xf numFmtId="4" fontId="5" fillId="6" borderId="0" xfId="0" applyNumberFormat="1" applyFont="1" applyFill="1"/>
    <xf numFmtId="0" fontId="14" fillId="6" borderId="0" xfId="0" applyFont="1" applyFill="1" applyAlignment="1">
      <alignment vertical="center"/>
    </xf>
    <xf numFmtId="175" fontId="5" fillId="6" borderId="0" xfId="0" applyNumberFormat="1" applyFont="1" applyFill="1" applyAlignment="1">
      <alignment vertical="center"/>
    </xf>
    <xf numFmtId="0" fontId="14" fillId="15" borderId="0" xfId="0" applyFont="1" applyFill="1" applyAlignment="1">
      <alignment vertical="center"/>
    </xf>
    <xf numFmtId="0" fontId="5" fillId="15" borderId="0" xfId="0" applyFont="1" applyFill="1" applyAlignment="1">
      <alignment vertical="center"/>
    </xf>
    <xf numFmtId="0" fontId="25" fillId="11" borderId="0" xfId="0" applyFont="1" applyFill="1" applyAlignment="1">
      <alignment horizontal="center" vertical="center" wrapText="1"/>
    </xf>
    <xf numFmtId="173" fontId="10" fillId="2" borderId="29" xfId="4" applyNumberFormat="1" applyFont="1" applyFill="1" applyBorder="1" applyAlignment="1">
      <alignment vertical="center"/>
    </xf>
    <xf numFmtId="173" fontId="3" fillId="2" borderId="29" xfId="4" applyNumberFormat="1" applyFont="1" applyFill="1" applyBorder="1" applyAlignment="1">
      <alignment vertical="center"/>
    </xf>
    <xf numFmtId="164" fontId="10" fillId="2" borderId="29" xfId="4" applyFont="1" applyFill="1" applyBorder="1" applyAlignment="1">
      <alignment vertical="center"/>
    </xf>
    <xf numFmtId="9" fontId="30" fillId="2" borderId="29" xfId="0" applyNumberFormat="1" applyFont="1" applyFill="1" applyBorder="1" applyAlignment="1">
      <alignment vertical="center"/>
    </xf>
    <xf numFmtId="14" fontId="20" fillId="25" borderId="4" xfId="0" applyNumberFormat="1" applyFont="1" applyFill="1" applyBorder="1" applyAlignment="1">
      <alignment horizontal="center" vertical="center"/>
    </xf>
    <xf numFmtId="0" fontId="8" fillId="13" borderId="13" xfId="0" applyFont="1" applyFill="1" applyBorder="1" applyAlignment="1">
      <alignment horizontal="center" vertical="center" wrapText="1"/>
    </xf>
    <xf numFmtId="14" fontId="13" fillId="15" borderId="13" xfId="0" applyNumberFormat="1" applyFont="1" applyFill="1" applyBorder="1" applyAlignment="1">
      <alignment horizontal="center" vertical="center"/>
    </xf>
    <xf numFmtId="170" fontId="6" fillId="2" borderId="4" xfId="1" applyNumberFormat="1" applyFont="1" applyFill="1" applyBorder="1" applyAlignment="1">
      <alignment vertical="center"/>
    </xf>
    <xf numFmtId="170" fontId="6" fillId="2" borderId="26" xfId="1" applyNumberFormat="1" applyFont="1" applyFill="1" applyBorder="1" applyAlignment="1">
      <alignment vertical="center"/>
    </xf>
    <xf numFmtId="10" fontId="10" fillId="2" borderId="29" xfId="0" applyNumberFormat="1" applyFont="1" applyFill="1" applyBorder="1" applyAlignment="1">
      <alignment vertical="center"/>
    </xf>
    <xf numFmtId="10" fontId="20" fillId="6" borderId="29" xfId="0" applyNumberFormat="1" applyFont="1" applyFill="1" applyBorder="1" applyAlignment="1">
      <alignment vertical="center"/>
    </xf>
    <xf numFmtId="164" fontId="12" fillId="6" borderId="0" xfId="4" applyFont="1" applyFill="1" applyBorder="1" applyAlignment="1">
      <alignment vertical="center"/>
    </xf>
    <xf numFmtId="4" fontId="15" fillId="6" borderId="0" xfId="0" applyNumberFormat="1" applyFont="1" applyFill="1" applyAlignment="1">
      <alignment vertical="center"/>
    </xf>
    <xf numFmtId="166" fontId="15" fillId="6" borderId="0" xfId="0" applyNumberFormat="1" applyFont="1" applyFill="1" applyAlignment="1">
      <alignment vertical="center"/>
    </xf>
    <xf numFmtId="164" fontId="5" fillId="6" borderId="11" xfId="0" applyNumberFormat="1" applyFont="1" applyFill="1" applyBorder="1" applyAlignment="1">
      <alignment vertical="center"/>
    </xf>
    <xf numFmtId="0" fontId="12" fillId="5" borderId="21" xfId="1" applyFont="1" applyFill="1" applyBorder="1" applyAlignment="1">
      <alignment horizontal="center" vertical="center"/>
    </xf>
    <xf numFmtId="0" fontId="12" fillId="3" borderId="21" xfId="1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168" fontId="18" fillId="4" borderId="4" xfId="0" applyNumberFormat="1" applyFont="1" applyFill="1" applyBorder="1" applyAlignment="1">
      <alignment horizontal="center" vertical="center"/>
    </xf>
    <xf numFmtId="168" fontId="6" fillId="10" borderId="4" xfId="0" applyNumberFormat="1" applyFont="1" applyFill="1" applyBorder="1" applyAlignment="1">
      <alignment horizontal="center" vertical="center"/>
    </xf>
    <xf numFmtId="9" fontId="20" fillId="6" borderId="29" xfId="0" applyNumberFormat="1" applyFont="1" applyFill="1" applyBorder="1" applyAlignment="1">
      <alignment vertical="center"/>
    </xf>
    <xf numFmtId="164" fontId="32" fillId="6" borderId="11" xfId="0" applyNumberFormat="1" applyFont="1" applyFill="1" applyBorder="1" applyAlignment="1">
      <alignment vertical="center"/>
    </xf>
    <xf numFmtId="9" fontId="10" fillId="2" borderId="0" xfId="0" applyNumberFormat="1" applyFont="1" applyFill="1" applyAlignment="1">
      <alignment vertical="center"/>
    </xf>
    <xf numFmtId="170" fontId="8" fillId="25" borderId="4" xfId="1" applyNumberFormat="1" applyFont="1" applyFill="1" applyBorder="1" applyAlignment="1">
      <alignment horizontal="center" vertical="center"/>
    </xf>
    <xf numFmtId="164" fontId="20" fillId="6" borderId="0" xfId="4" applyFont="1" applyFill="1" applyBorder="1" applyAlignment="1">
      <alignment vertical="center"/>
    </xf>
    <xf numFmtId="170" fontId="8" fillId="2" borderId="4" xfId="1" applyNumberFormat="1" applyFont="1" applyFill="1" applyBorder="1" applyAlignment="1">
      <alignment vertical="center"/>
    </xf>
    <xf numFmtId="0" fontId="5" fillId="15" borderId="29" xfId="0" applyFont="1" applyFill="1" applyBorder="1" applyAlignment="1">
      <alignment vertical="center"/>
    </xf>
    <xf numFmtId="173" fontId="5" fillId="15" borderId="29" xfId="0" applyNumberFormat="1" applyFont="1" applyFill="1" applyBorder="1" applyAlignment="1">
      <alignment vertical="center"/>
    </xf>
    <xf numFmtId="43" fontId="5" fillId="15" borderId="29" xfId="0" applyNumberFormat="1" applyFont="1" applyFill="1" applyBorder="1" applyAlignment="1">
      <alignment vertical="center"/>
    </xf>
    <xf numFmtId="164" fontId="9" fillId="6" borderId="11" xfId="0" applyNumberFormat="1" applyFont="1" applyFill="1" applyBorder="1" applyAlignment="1">
      <alignment vertical="center"/>
    </xf>
    <xf numFmtId="177" fontId="0" fillId="2" borderId="29" xfId="0" applyNumberFormat="1" applyFill="1" applyBorder="1" applyAlignment="1">
      <alignment vertical="center"/>
    </xf>
    <xf numFmtId="170" fontId="6" fillId="0" borderId="0" xfId="1" applyNumberFormat="1" applyFont="1" applyAlignment="1">
      <alignment horizontal="center" vertical="center"/>
    </xf>
    <xf numFmtId="170" fontId="6" fillId="2" borderId="0" xfId="1" applyNumberFormat="1" applyFont="1" applyFill="1" applyAlignment="1">
      <alignment vertical="center"/>
    </xf>
    <xf numFmtId="170" fontId="6" fillId="0" borderId="0" xfId="1" applyNumberFormat="1" applyFont="1" applyAlignment="1">
      <alignment vertical="center"/>
    </xf>
    <xf numFmtId="0" fontId="15" fillId="2" borderId="21" xfId="0" applyFont="1" applyFill="1" applyBorder="1" applyAlignment="1">
      <alignment horizontal="center" vertical="center"/>
    </xf>
    <xf numFmtId="168" fontId="15" fillId="2" borderId="12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4" fontId="20" fillId="6" borderId="0" xfId="0" applyNumberFormat="1" applyFont="1" applyFill="1" applyAlignment="1">
      <alignment vertical="center"/>
    </xf>
    <xf numFmtId="166" fontId="20" fillId="6" borderId="0" xfId="0" applyNumberFormat="1" applyFont="1" applyFill="1" applyAlignment="1">
      <alignment vertical="center"/>
    </xf>
    <xf numFmtId="0" fontId="34" fillId="0" borderId="0" xfId="0" applyFont="1" applyAlignment="1">
      <alignment horizontal="center" vertical="center"/>
    </xf>
    <xf numFmtId="166" fontId="5" fillId="6" borderId="29" xfId="0" applyNumberFormat="1" applyFont="1" applyFill="1" applyBorder="1" applyAlignment="1">
      <alignment vertical="center"/>
    </xf>
    <xf numFmtId="164" fontId="5" fillId="15" borderId="29" xfId="0" applyNumberFormat="1" applyFont="1" applyFill="1" applyBorder="1" applyAlignment="1">
      <alignment vertical="center"/>
    </xf>
    <xf numFmtId="0" fontId="0" fillId="14" borderId="29" xfId="0" applyFill="1" applyBorder="1" applyAlignment="1">
      <alignment vertical="center"/>
    </xf>
    <xf numFmtId="0" fontId="0" fillId="14" borderId="23" xfId="0" applyFill="1" applyBorder="1" applyAlignment="1">
      <alignment horizontal="center" vertical="center"/>
    </xf>
    <xf numFmtId="173" fontId="0" fillId="14" borderId="29" xfId="0" applyNumberFormat="1" applyFill="1" applyBorder="1" applyAlignment="1">
      <alignment vertical="center"/>
    </xf>
    <xf numFmtId="0" fontId="0" fillId="14" borderId="0" xfId="0" applyFill="1" applyAlignment="1">
      <alignment vertical="center"/>
    </xf>
    <xf numFmtId="2" fontId="0" fillId="14" borderId="29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 vertical="center"/>
    </xf>
    <xf numFmtId="169" fontId="0" fillId="14" borderId="23" xfId="0" applyNumberFormat="1" applyFill="1" applyBorder="1" applyAlignment="1">
      <alignment horizontal="center" vertical="center"/>
    </xf>
    <xf numFmtId="0" fontId="0" fillId="0" borderId="33" xfId="0" applyBorder="1"/>
    <xf numFmtId="0" fontId="39" fillId="29" borderId="33" xfId="8" applyFont="1" applyFill="1" applyBorder="1" applyAlignment="1">
      <alignment horizontal="center"/>
    </xf>
    <xf numFmtId="0" fontId="2" fillId="0" borderId="0" xfId="0" applyFont="1"/>
    <xf numFmtId="0" fontId="2" fillId="27" borderId="33" xfId="0" applyFont="1" applyFill="1" applyBorder="1" applyAlignment="1">
      <alignment horizontal="center" vertical="center"/>
    </xf>
    <xf numFmtId="0" fontId="2" fillId="28" borderId="33" xfId="0" applyFont="1" applyFill="1" applyBorder="1" applyAlignment="1">
      <alignment horizontal="center" vertical="center"/>
    </xf>
    <xf numFmtId="0" fontId="2" fillId="29" borderId="33" xfId="0" applyFont="1" applyFill="1" applyBorder="1" applyAlignment="1">
      <alignment horizontal="center" vertical="center"/>
    </xf>
    <xf numFmtId="0" fontId="2" fillId="30" borderId="33" xfId="0" applyFont="1" applyFill="1" applyBorder="1" applyAlignment="1">
      <alignment horizontal="center" vertical="center"/>
    </xf>
    <xf numFmtId="0" fontId="11" fillId="0" borderId="0" xfId="0" applyFont="1"/>
    <xf numFmtId="0" fontId="11" fillId="0" borderId="0" xfId="0" applyFont="1" applyProtection="1">
      <protection locked="0"/>
    </xf>
    <xf numFmtId="0" fontId="40" fillId="0" borderId="36" xfId="0" applyFont="1" applyBorder="1" applyAlignment="1">
      <alignment horizontal="center" vertical="center" wrapText="1"/>
    </xf>
    <xf numFmtId="0" fontId="41" fillId="0" borderId="37" xfId="10" quotePrefix="1" applyFont="1" applyBorder="1" applyAlignment="1">
      <alignment horizontal="left" vertical="center"/>
    </xf>
    <xf numFmtId="10" fontId="11" fillId="0" borderId="0" xfId="5" applyNumberFormat="1" applyFont="1"/>
    <xf numFmtId="0" fontId="41" fillId="0" borderId="38" xfId="10" quotePrefix="1" applyFont="1" applyBorder="1" applyAlignment="1">
      <alignment horizontal="left" vertical="center"/>
    </xf>
    <xf numFmtId="2" fontId="42" fillId="10" borderId="0" xfId="0" applyNumberFormat="1" applyFont="1" applyFill="1" applyAlignment="1">
      <alignment horizontal="center"/>
    </xf>
    <xf numFmtId="1" fontId="42" fillId="10" borderId="0" xfId="0" applyNumberFormat="1" applyFont="1" applyFill="1" applyAlignment="1">
      <alignment horizontal="right"/>
    </xf>
    <xf numFmtId="0" fontId="42" fillId="10" borderId="0" xfId="0" applyFont="1" applyFill="1" applyAlignment="1">
      <alignment horizontal="center"/>
    </xf>
    <xf numFmtId="49" fontId="42" fillId="0" borderId="0" xfId="0" applyNumberFormat="1" applyFont="1" applyAlignment="1">
      <alignment horizontal="center"/>
    </xf>
    <xf numFmtId="49" fontId="42" fillId="0" borderId="0" xfId="0" applyNumberFormat="1" applyFont="1"/>
    <xf numFmtId="2" fontId="11" fillId="0" borderId="0" xfId="0" applyNumberFormat="1" applyFont="1"/>
    <xf numFmtId="0" fontId="41" fillId="0" borderId="36" xfId="10" applyFont="1" applyBorder="1" applyAlignment="1">
      <alignment horizontal="left" vertical="center"/>
    </xf>
    <xf numFmtId="0" fontId="11" fillId="0" borderId="0" xfId="0" applyFont="1" applyAlignment="1" applyProtection="1">
      <alignment horizontal="center"/>
      <protection locked="0"/>
    </xf>
    <xf numFmtId="169" fontId="11" fillId="0" borderId="0" xfId="0" applyNumberFormat="1" applyFont="1" applyProtection="1">
      <protection locked="0"/>
    </xf>
    <xf numFmtId="0" fontId="40" fillId="0" borderId="39" xfId="0" applyFont="1" applyBorder="1" applyAlignment="1">
      <alignment horizontal="center" vertical="center" wrapText="1"/>
    </xf>
    <xf numFmtId="0" fontId="2" fillId="27" borderId="40" xfId="0" applyFont="1" applyFill="1" applyBorder="1" applyAlignment="1">
      <alignment horizontal="center" vertical="center"/>
    </xf>
    <xf numFmtId="0" fontId="2" fillId="28" borderId="40" xfId="0" applyFont="1" applyFill="1" applyBorder="1" applyAlignment="1">
      <alignment horizontal="center" vertical="center"/>
    </xf>
    <xf numFmtId="0" fontId="2" fillId="29" borderId="40" xfId="0" applyFont="1" applyFill="1" applyBorder="1" applyAlignment="1">
      <alignment horizontal="center" vertical="center"/>
    </xf>
    <xf numFmtId="0" fontId="2" fillId="8" borderId="40" xfId="0" applyFont="1" applyFill="1" applyBorder="1" applyAlignment="1">
      <alignment horizontal="center" vertical="center"/>
    </xf>
    <xf numFmtId="10" fontId="11" fillId="0" borderId="0" xfId="5" applyNumberFormat="1" applyFont="1" applyProtection="1">
      <protection locked="0"/>
    </xf>
    <xf numFmtId="169" fontId="2" fillId="2" borderId="40" xfId="5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0" fontId="6" fillId="0" borderId="0" xfId="0" applyNumberFormat="1" applyFont="1" applyAlignment="1">
      <alignment horizontal="right" vertical="center"/>
    </xf>
    <xf numFmtId="0" fontId="11" fillId="2" borderId="0" xfId="0" applyFont="1" applyFill="1" applyAlignment="1" applyProtection="1">
      <alignment horizontal="center"/>
      <protection locked="0"/>
    </xf>
    <xf numFmtId="0" fontId="6" fillId="0" borderId="0" xfId="0" applyFont="1" applyAlignment="1">
      <alignment horizontal="right" vertical="center" indent="1"/>
    </xf>
    <xf numFmtId="10" fontId="6" fillId="2" borderId="0" xfId="0" applyNumberFormat="1" applyFont="1" applyFill="1" applyAlignment="1">
      <alignment vertical="center"/>
    </xf>
    <xf numFmtId="10" fontId="6" fillId="0" borderId="0" xfId="5" applyNumberFormat="1" applyFont="1" applyAlignment="1">
      <alignment horizontal="right" vertical="center"/>
    </xf>
    <xf numFmtId="10" fontId="6" fillId="2" borderId="0" xfId="5" applyNumberFormat="1" applyFont="1" applyFill="1" applyAlignment="1">
      <alignment horizontal="right" vertical="center"/>
    </xf>
    <xf numFmtId="10" fontId="6" fillId="2" borderId="0" xfId="0" applyNumberFormat="1" applyFont="1" applyFill="1" applyAlignment="1">
      <alignment horizontal="right" vertical="center"/>
    </xf>
    <xf numFmtId="10" fontId="0" fillId="2" borderId="0" xfId="0" applyNumberFormat="1" applyFill="1" applyAlignment="1">
      <alignment horizontal="right" vertical="center"/>
    </xf>
    <xf numFmtId="0" fontId="0" fillId="25" borderId="0" xfId="0" applyFill="1" applyAlignment="1">
      <alignment horizontal="center"/>
    </xf>
    <xf numFmtId="0" fontId="0" fillId="0" borderId="40" xfId="0" applyBorder="1" applyAlignment="1">
      <alignment horizontal="center"/>
    </xf>
    <xf numFmtId="43" fontId="26" fillId="20" borderId="35" xfId="9" applyFont="1" applyFill="1" applyBorder="1" applyAlignment="1">
      <alignment horizontal="right" vertical="center" wrapText="1"/>
    </xf>
    <xf numFmtId="0" fontId="33" fillId="5" borderId="40" xfId="1" applyFont="1" applyFill="1" applyBorder="1" applyAlignment="1">
      <alignment horizontal="center" vertical="center" wrapText="1"/>
    </xf>
    <xf numFmtId="0" fontId="12" fillId="5" borderId="40" xfId="1" applyFont="1" applyFill="1" applyBorder="1" applyAlignment="1">
      <alignment horizontal="center" vertical="center"/>
    </xf>
    <xf numFmtId="170" fontId="6" fillId="0" borderId="40" xfId="1" applyNumberFormat="1" applyFont="1" applyBorder="1" applyAlignment="1">
      <alignment horizontal="center" vertical="center"/>
    </xf>
    <xf numFmtId="10" fontId="41" fillId="0" borderId="37" xfId="10" quotePrefix="1" applyNumberFormat="1" applyFont="1" applyBorder="1" applyAlignment="1">
      <alignment horizontal="center" vertical="center"/>
    </xf>
    <xf numFmtId="10" fontId="2" fillId="2" borderId="33" xfId="5" applyNumberFormat="1" applyFont="1" applyFill="1" applyBorder="1" applyAlignment="1">
      <alignment horizontal="center" vertical="center"/>
    </xf>
    <xf numFmtId="0" fontId="32" fillId="25" borderId="0" xfId="0" applyFont="1" applyFill="1" applyAlignment="1">
      <alignment horizontal="center"/>
    </xf>
    <xf numFmtId="0" fontId="17" fillId="0" borderId="0" xfId="0" applyFont="1"/>
    <xf numFmtId="0" fontId="37" fillId="29" borderId="40" xfId="8" applyFont="1" applyFill="1" applyBorder="1" applyAlignment="1">
      <alignment horizontal="center"/>
    </xf>
    <xf numFmtId="0" fontId="36" fillId="0" borderId="0" xfId="0" applyFont="1" applyAlignment="1">
      <alignment vertical="center"/>
    </xf>
    <xf numFmtId="0" fontId="37" fillId="8" borderId="40" xfId="8" applyFont="1" applyFill="1" applyBorder="1" applyAlignment="1">
      <alignment horizontal="center"/>
    </xf>
    <xf numFmtId="49" fontId="44" fillId="8" borderId="40" xfId="8" applyNumberFormat="1" applyFont="1" applyFill="1" applyBorder="1" applyAlignment="1" applyProtection="1">
      <alignment horizontal="center"/>
      <protection locked="0"/>
    </xf>
    <xf numFmtId="40" fontId="34" fillId="0" borderId="0" xfId="0" applyNumberFormat="1" applyFont="1" applyAlignment="1">
      <alignment vertical="center"/>
    </xf>
    <xf numFmtId="1" fontId="0" fillId="0" borderId="0" xfId="0" applyNumberFormat="1"/>
    <xf numFmtId="0" fontId="39" fillId="29" borderId="40" xfId="8" applyFont="1" applyFill="1" applyBorder="1" applyAlignment="1">
      <alignment horizontal="center"/>
    </xf>
    <xf numFmtId="2" fontId="45" fillId="0" borderId="40" xfId="0" applyNumberFormat="1" applyFont="1" applyBorder="1" applyAlignment="1">
      <alignment horizontal="center"/>
    </xf>
    <xf numFmtId="0" fontId="45" fillId="10" borderId="40" xfId="0" applyFont="1" applyFill="1" applyBorder="1"/>
    <xf numFmtId="49" fontId="45" fillId="0" borderId="0" xfId="0" applyNumberFormat="1" applyFont="1" applyAlignment="1">
      <alignment horizontal="center"/>
    </xf>
    <xf numFmtId="49" fontId="45" fillId="0" borderId="0" xfId="0" applyNumberFormat="1" applyFont="1"/>
    <xf numFmtId="40" fontId="34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40" fontId="34" fillId="2" borderId="0" xfId="0" applyNumberFormat="1" applyFont="1" applyFill="1" applyAlignment="1">
      <alignment horizontal="center" vertical="center"/>
    </xf>
    <xf numFmtId="0" fontId="34" fillId="22" borderId="34" xfId="0" applyFont="1" applyFill="1" applyBorder="1" applyAlignment="1">
      <alignment horizontal="left" vertical="center"/>
    </xf>
    <xf numFmtId="179" fontId="34" fillId="2" borderId="0" xfId="0" applyNumberFormat="1" applyFont="1" applyFill="1" applyAlignment="1">
      <alignment horizontal="center" vertical="center"/>
    </xf>
    <xf numFmtId="166" fontId="0" fillId="0" borderId="0" xfId="0" applyNumberFormat="1"/>
    <xf numFmtId="0" fontId="0" fillId="0" borderId="40" xfId="0" applyBorder="1"/>
    <xf numFmtId="0" fontId="36" fillId="0" borderId="0" xfId="0" applyFont="1" applyAlignment="1">
      <alignment horizontal="center" vertical="center"/>
    </xf>
    <xf numFmtId="0" fontId="0" fillId="5" borderId="29" xfId="0" applyFill="1" applyBorder="1" applyAlignment="1">
      <alignment vertical="center"/>
    </xf>
    <xf numFmtId="173" fontId="0" fillId="5" borderId="29" xfId="0" applyNumberFormat="1" applyFill="1" applyBorder="1" applyAlignment="1">
      <alignment vertical="center"/>
    </xf>
    <xf numFmtId="164" fontId="10" fillId="5" borderId="29" xfId="4" applyFont="1" applyFill="1" applyBorder="1" applyAlignment="1">
      <alignment vertical="center"/>
    </xf>
    <xf numFmtId="0" fontId="34" fillId="11" borderId="17" xfId="0" applyFont="1" applyFill="1" applyBorder="1" applyAlignment="1">
      <alignment horizontal="center" vertical="center" wrapText="1"/>
    </xf>
    <xf numFmtId="0" fontId="34" fillId="11" borderId="2" xfId="0" applyFont="1" applyFill="1" applyBorder="1" applyAlignment="1">
      <alignment horizontal="center" vertical="center" wrapText="1"/>
    </xf>
    <xf numFmtId="0" fontId="44" fillId="8" borderId="41" xfId="8" applyFont="1" applyFill="1" applyBorder="1" applyAlignment="1" applyProtection="1">
      <alignment horizontal="center"/>
      <protection locked="0"/>
    </xf>
    <xf numFmtId="0" fontId="34" fillId="6" borderId="42" xfId="0" applyFont="1" applyFill="1" applyBorder="1" applyAlignment="1">
      <alignment horizontal="center" vertical="center" wrapText="1"/>
    </xf>
    <xf numFmtId="2" fontId="24" fillId="0" borderId="17" xfId="0" applyNumberFormat="1" applyFont="1" applyBorder="1" applyAlignment="1">
      <alignment horizontal="center" vertical="center" wrapText="1"/>
    </xf>
    <xf numFmtId="0" fontId="34" fillId="10" borderId="2" xfId="0" applyFont="1" applyFill="1" applyBorder="1" applyAlignment="1">
      <alignment horizontal="center" vertical="center" wrapText="1"/>
    </xf>
    <xf numFmtId="0" fontId="34" fillId="6" borderId="2" xfId="0" applyFont="1" applyFill="1" applyBorder="1" applyAlignment="1">
      <alignment horizontal="center" vertical="center" wrapText="1"/>
    </xf>
    <xf numFmtId="0" fontId="34" fillId="4" borderId="2" xfId="0" applyFont="1" applyFill="1" applyBorder="1" applyAlignment="1">
      <alignment horizontal="center" vertical="center" wrapText="1"/>
    </xf>
    <xf numFmtId="0" fontId="34" fillId="4" borderId="20" xfId="0" applyFont="1" applyFill="1" applyBorder="1" applyAlignment="1">
      <alignment horizontal="center" vertical="center" wrapText="1"/>
    </xf>
    <xf numFmtId="2" fontId="24" fillId="0" borderId="2" xfId="0" applyNumberFormat="1" applyFont="1" applyBorder="1" applyAlignment="1">
      <alignment horizontal="center" vertical="center" wrapText="1"/>
    </xf>
    <xf numFmtId="0" fontId="49" fillId="0" borderId="2" xfId="0" applyFont="1" applyBorder="1" applyAlignment="1">
      <alignment horizontal="center" vertical="center" wrapText="1"/>
    </xf>
    <xf numFmtId="2" fontId="24" fillId="10" borderId="2" xfId="0" applyNumberFormat="1" applyFont="1" applyFill="1" applyBorder="1" applyAlignment="1">
      <alignment horizontal="center" vertical="center" wrapText="1"/>
    </xf>
    <xf numFmtId="2" fontId="25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50" fillId="33" borderId="20" xfId="0" applyFont="1" applyFill="1" applyBorder="1" applyAlignment="1">
      <alignment horizontal="center" vertical="center" wrapText="1"/>
    </xf>
    <xf numFmtId="2" fontId="25" fillId="0" borderId="44" xfId="0" applyNumberFormat="1" applyFont="1" applyBorder="1" applyAlignment="1">
      <alignment horizontal="center" vertical="center" wrapText="1"/>
    </xf>
    <xf numFmtId="1" fontId="42" fillId="10" borderId="40" xfId="0" applyNumberFormat="1" applyFont="1" applyFill="1" applyBorder="1" applyAlignment="1">
      <alignment horizontal="center"/>
    </xf>
    <xf numFmtId="0" fontId="49" fillId="2" borderId="2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 wrapText="1"/>
    </xf>
    <xf numFmtId="0" fontId="5" fillId="25" borderId="40" xfId="0" applyFont="1" applyFill="1" applyBorder="1" applyAlignment="1">
      <alignment horizontal="center"/>
    </xf>
    <xf numFmtId="0" fontId="25" fillId="6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1" borderId="40" xfId="0" applyFont="1" applyFill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5" fillId="2" borderId="42" xfId="0" applyFont="1" applyFill="1" applyBorder="1"/>
    <xf numFmtId="2" fontId="25" fillId="10" borderId="42" xfId="0" applyNumberFormat="1" applyFont="1" applyFill="1" applyBorder="1"/>
    <xf numFmtId="2" fontId="24" fillId="0" borderId="17" xfId="0" applyNumberFormat="1" applyFont="1" applyBorder="1" applyAlignment="1">
      <alignment horizontal="right" vertical="center" wrapText="1"/>
    </xf>
    <xf numFmtId="2" fontId="24" fillId="0" borderId="42" xfId="0" applyNumberFormat="1" applyFont="1" applyBorder="1" applyAlignment="1">
      <alignment horizontal="right" vertical="center" wrapText="1"/>
    </xf>
    <xf numFmtId="0" fontId="25" fillId="10" borderId="42" xfId="0" applyFont="1" applyFill="1" applyBorder="1"/>
    <xf numFmtId="0" fontId="25" fillId="10" borderId="15" xfId="0" applyFont="1" applyFill="1" applyBorder="1"/>
    <xf numFmtId="169" fontId="0" fillId="0" borderId="30" xfId="0" applyNumberFormat="1" applyBorder="1" applyAlignment="1">
      <alignment horizontal="center"/>
    </xf>
    <xf numFmtId="169" fontId="0" fillId="0" borderId="0" xfId="0" applyNumberFormat="1"/>
    <xf numFmtId="0" fontId="47" fillId="11" borderId="42" xfId="0" applyFont="1" applyFill="1" applyBorder="1" applyAlignment="1">
      <alignment horizontal="left" vertical="center"/>
    </xf>
    <xf numFmtId="0" fontId="47" fillId="11" borderId="17" xfId="0" applyFont="1" applyFill="1" applyBorder="1" applyAlignment="1">
      <alignment horizontal="center" vertical="center" wrapText="1"/>
    </xf>
    <xf numFmtId="0" fontId="48" fillId="11" borderId="15" xfId="0" applyFont="1" applyFill="1" applyBorder="1" applyAlignment="1">
      <alignment horizontal="left" vertical="center" wrapText="1"/>
    </xf>
    <xf numFmtId="0" fontId="48" fillId="0" borderId="42" xfId="0" applyFont="1" applyBorder="1" applyAlignment="1">
      <alignment horizontal="center" vertical="center"/>
    </xf>
    <xf numFmtId="0" fontId="48" fillId="11" borderId="20" xfId="0" applyFont="1" applyFill="1" applyBorder="1" applyAlignment="1">
      <alignment horizontal="left" vertical="center" wrapText="1"/>
    </xf>
    <xf numFmtId="0" fontId="48" fillId="11" borderId="20" xfId="0" applyFont="1" applyFill="1" applyBorder="1" applyAlignment="1">
      <alignment horizontal="left" vertical="center"/>
    </xf>
    <xf numFmtId="2" fontId="25" fillId="0" borderId="0" xfId="0" applyNumberFormat="1" applyFont="1"/>
    <xf numFmtId="0" fontId="48" fillId="11" borderId="18" xfId="0" applyFont="1" applyFill="1" applyBorder="1" applyAlignment="1">
      <alignment horizontal="left" vertical="center" wrapText="1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25" fillId="2" borderId="15" xfId="0" applyFont="1" applyFill="1" applyBorder="1" applyAlignment="1">
      <alignment vertical="center"/>
    </xf>
    <xf numFmtId="0" fontId="25" fillId="2" borderId="16" xfId="0" applyFont="1" applyFill="1" applyBorder="1" applyAlignment="1">
      <alignment vertical="center"/>
    </xf>
    <xf numFmtId="0" fontId="0" fillId="2" borderId="17" xfId="0" applyFill="1" applyBorder="1" applyAlignment="1">
      <alignment horizontal="center"/>
    </xf>
    <xf numFmtId="0" fontId="47" fillId="11" borderId="2" xfId="0" applyFont="1" applyFill="1" applyBorder="1" applyAlignment="1">
      <alignment horizontal="center" vertical="center"/>
    </xf>
    <xf numFmtId="0" fontId="53" fillId="11" borderId="20" xfId="0" applyFont="1" applyFill="1" applyBorder="1" applyAlignment="1">
      <alignment horizontal="left" vertical="center" wrapText="1"/>
    </xf>
    <xf numFmtId="0" fontId="54" fillId="10" borderId="2" xfId="0" applyFont="1" applyFill="1" applyBorder="1" applyAlignment="1">
      <alignment horizontal="right" vertical="center"/>
    </xf>
    <xf numFmtId="0" fontId="54" fillId="10" borderId="2" xfId="0" applyFont="1" applyFill="1" applyBorder="1" applyAlignment="1">
      <alignment horizontal="center" vertical="center"/>
    </xf>
    <xf numFmtId="4" fontId="54" fillId="10" borderId="2" xfId="0" applyNumberFormat="1" applyFont="1" applyFill="1" applyBorder="1" applyAlignment="1">
      <alignment horizontal="right" vertical="center"/>
    </xf>
    <xf numFmtId="0" fontId="47" fillId="11" borderId="42" xfId="0" applyFont="1" applyFill="1" applyBorder="1" applyAlignment="1">
      <alignment horizontal="center" vertical="center"/>
    </xf>
    <xf numFmtId="0" fontId="47" fillId="11" borderId="17" xfId="0" applyFont="1" applyFill="1" applyBorder="1" applyAlignment="1">
      <alignment horizontal="center" vertical="center"/>
    </xf>
    <xf numFmtId="43" fontId="56" fillId="10" borderId="2" xfId="9" applyFont="1" applyFill="1" applyBorder="1" applyAlignment="1">
      <alignment horizontal="center" vertical="center"/>
    </xf>
    <xf numFmtId="43" fontId="56" fillId="10" borderId="3" xfId="9" applyFont="1" applyFill="1" applyBorder="1" applyAlignment="1">
      <alignment horizontal="center" vertical="center"/>
    </xf>
    <xf numFmtId="0" fontId="48" fillId="11" borderId="47" xfId="0" applyFont="1" applyFill="1" applyBorder="1" applyAlignment="1">
      <alignment horizontal="left" vertical="center" wrapText="1"/>
    </xf>
    <xf numFmtId="0" fontId="48" fillId="11" borderId="47" xfId="0" applyFont="1" applyFill="1" applyBorder="1" applyAlignment="1">
      <alignment horizontal="left" vertical="center"/>
    </xf>
    <xf numFmtId="0" fontId="57" fillId="10" borderId="2" xfId="0" applyFont="1" applyFill="1" applyBorder="1" applyAlignment="1">
      <alignment horizontal="center" vertical="center"/>
    </xf>
    <xf numFmtId="0" fontId="58" fillId="10" borderId="2" xfId="0" applyFont="1" applyFill="1" applyBorder="1" applyAlignment="1">
      <alignment horizontal="center" vertical="center"/>
    </xf>
    <xf numFmtId="0" fontId="59" fillId="11" borderId="20" xfId="0" applyFont="1" applyFill="1" applyBorder="1" applyAlignment="1">
      <alignment horizontal="left" vertical="center"/>
    </xf>
    <xf numFmtId="0" fontId="52" fillId="11" borderId="42" xfId="0" applyFont="1" applyFill="1" applyBorder="1" applyAlignment="1">
      <alignment horizontal="center" vertical="center" wrapText="1"/>
    </xf>
    <xf numFmtId="0" fontId="52" fillId="11" borderId="20" xfId="0" applyFont="1" applyFill="1" applyBorder="1" applyAlignment="1">
      <alignment horizontal="left" vertical="center" wrapText="1"/>
    </xf>
    <xf numFmtId="0" fontId="52" fillId="11" borderId="42" xfId="0" applyFont="1" applyFill="1" applyBorder="1" applyAlignment="1">
      <alignment vertical="center" wrapText="1"/>
    </xf>
    <xf numFmtId="0" fontId="52" fillId="11" borderId="20" xfId="0" applyFont="1" applyFill="1" applyBorder="1" applyAlignment="1">
      <alignment vertical="center" wrapText="1"/>
    </xf>
    <xf numFmtId="0" fontId="5" fillId="11" borderId="0" xfId="0" applyFont="1" applyFill="1" applyAlignment="1">
      <alignment horizontal="left"/>
    </xf>
    <xf numFmtId="0" fontId="26" fillId="6" borderId="42" xfId="0" applyFont="1" applyFill="1" applyBorder="1" applyAlignment="1">
      <alignment horizontal="center" vertical="center" wrapText="1"/>
    </xf>
    <xf numFmtId="0" fontId="26" fillId="6" borderId="17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6" borderId="42" xfId="0" applyFill="1" applyBorder="1" applyAlignment="1">
      <alignment horizontal="left" vertical="center"/>
    </xf>
    <xf numFmtId="0" fontId="26" fillId="6" borderId="20" xfId="0" applyFont="1" applyFill="1" applyBorder="1" applyAlignment="1">
      <alignment vertical="center" wrapText="1"/>
    </xf>
    <xf numFmtId="0" fontId="26" fillId="10" borderId="2" xfId="0" applyFont="1" applyFill="1" applyBorder="1" applyAlignment="1">
      <alignment horizontal="center" vertical="center" wrapText="1"/>
    </xf>
    <xf numFmtId="0" fontId="0" fillId="6" borderId="42" xfId="0" applyFill="1" applyBorder="1" applyAlignment="1">
      <alignment horizontal="left" vertical="center" wrapText="1"/>
    </xf>
    <xf numFmtId="0" fontId="63" fillId="6" borderId="0" xfId="0" applyFont="1" applyFill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vertical="center"/>
    </xf>
    <xf numFmtId="173" fontId="11" fillId="5" borderId="29" xfId="0" applyNumberFormat="1" applyFont="1" applyFill="1" applyBorder="1" applyAlignment="1">
      <alignment vertical="center"/>
    </xf>
    <xf numFmtId="170" fontId="6" fillId="2" borderId="4" xfId="1" applyNumberFormat="1" applyFont="1" applyFill="1" applyBorder="1" applyAlignment="1">
      <alignment horizontal="center" vertical="center"/>
    </xf>
    <xf numFmtId="170" fontId="8" fillId="2" borderId="4" xfId="1" applyNumberFormat="1" applyFont="1" applyFill="1" applyBorder="1" applyAlignment="1">
      <alignment horizontal="center" vertical="center"/>
    </xf>
    <xf numFmtId="170" fontId="6" fillId="2" borderId="26" xfId="1" applyNumberFormat="1" applyFont="1" applyFill="1" applyBorder="1" applyAlignment="1">
      <alignment horizontal="center" vertical="center"/>
    </xf>
    <xf numFmtId="180" fontId="6" fillId="2" borderId="4" xfId="1" applyNumberFormat="1" applyFont="1" applyFill="1" applyBorder="1" applyAlignment="1">
      <alignment horizontal="center" vertical="center"/>
    </xf>
    <xf numFmtId="166" fontId="6" fillId="2" borderId="4" xfId="1" applyNumberFormat="1" applyFont="1" applyFill="1" applyBorder="1" applyAlignment="1">
      <alignment horizontal="center" vertical="center"/>
    </xf>
    <xf numFmtId="0" fontId="5" fillId="0" borderId="40" xfId="0" applyFont="1" applyBorder="1" applyAlignment="1">
      <alignment horizontal="center"/>
    </xf>
    <xf numFmtId="0" fontId="35" fillId="0" borderId="40" xfId="0" applyFont="1" applyBorder="1" applyAlignment="1">
      <alignment horizontal="center" vertical="center"/>
    </xf>
    <xf numFmtId="0" fontId="5" fillId="2" borderId="40" xfId="0" applyFont="1" applyFill="1" applyBorder="1" applyAlignment="1">
      <alignment horizontal="center"/>
    </xf>
    <xf numFmtId="0" fontId="2" fillId="30" borderId="40" xfId="0" applyFont="1" applyFill="1" applyBorder="1" applyAlignment="1">
      <alignment horizontal="center" vertical="center"/>
    </xf>
    <xf numFmtId="0" fontId="37" fillId="29" borderId="40" xfId="0" applyFont="1" applyFill="1" applyBorder="1" applyAlignment="1">
      <alignment horizontal="center"/>
    </xf>
    <xf numFmtId="0" fontId="37" fillId="28" borderId="40" xfId="0" applyFont="1" applyFill="1" applyBorder="1" applyAlignment="1">
      <alignment horizontal="center"/>
    </xf>
    <xf numFmtId="49" fontId="37" fillId="28" borderId="40" xfId="0" applyNumberFormat="1" applyFont="1" applyFill="1" applyBorder="1" applyAlignment="1" applyProtection="1">
      <alignment horizontal="center"/>
      <protection locked="0"/>
    </xf>
    <xf numFmtId="0" fontId="37" fillId="28" borderId="40" xfId="0" applyFont="1" applyFill="1" applyBorder="1" applyAlignment="1" applyProtection="1">
      <alignment horizontal="center"/>
      <protection locked="0"/>
    </xf>
    <xf numFmtId="0" fontId="0" fillId="0" borderId="33" xfId="0" applyBorder="1" applyAlignment="1">
      <alignment horizontal="center"/>
    </xf>
    <xf numFmtId="0" fontId="5" fillId="2" borderId="33" xfId="0" applyFont="1" applyFill="1" applyBorder="1" applyAlignment="1">
      <alignment horizontal="center" vertical="center"/>
    </xf>
    <xf numFmtId="14" fontId="20" fillId="5" borderId="33" xfId="0" applyNumberFormat="1" applyFont="1" applyFill="1" applyBorder="1" applyAlignment="1">
      <alignment horizontal="center" vertical="center"/>
    </xf>
    <xf numFmtId="0" fontId="5" fillId="25" borderId="33" xfId="0" applyFont="1" applyFill="1" applyBorder="1" applyAlignment="1">
      <alignment horizontal="center" vertical="center"/>
    </xf>
    <xf numFmtId="0" fontId="20" fillId="15" borderId="33" xfId="0" applyFont="1" applyFill="1" applyBorder="1" applyAlignment="1">
      <alignment horizontal="center" vertical="center"/>
    </xf>
    <xf numFmtId="170" fontId="6" fillId="2" borderId="33" xfId="0" applyNumberFormat="1" applyFont="1" applyFill="1" applyBorder="1" applyAlignment="1">
      <alignment horizontal="center" vertical="center"/>
    </xf>
    <xf numFmtId="2" fontId="5" fillId="6" borderId="33" xfId="0" applyNumberFormat="1" applyFont="1" applyFill="1" applyBorder="1" applyAlignment="1">
      <alignment horizontal="center" vertical="center"/>
    </xf>
    <xf numFmtId="4" fontId="0" fillId="2" borderId="33" xfId="0" applyNumberFormat="1" applyFill="1" applyBorder="1" applyAlignment="1">
      <alignment horizontal="center" vertical="center"/>
    </xf>
    <xf numFmtId="0" fontId="33" fillId="5" borderId="33" xfId="1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vertical="center"/>
    </xf>
    <xf numFmtId="0" fontId="8" fillId="2" borderId="33" xfId="0" applyFont="1" applyFill="1" applyBorder="1" applyAlignment="1">
      <alignment horizontal="center" vertical="center"/>
    </xf>
    <xf numFmtId="0" fontId="12" fillId="5" borderId="33" xfId="1" applyFont="1" applyFill="1" applyBorder="1" applyAlignment="1">
      <alignment horizontal="center" vertical="center"/>
    </xf>
    <xf numFmtId="170" fontId="6" fillId="0" borderId="33" xfId="1" applyNumberFormat="1" applyFont="1" applyBorder="1" applyAlignment="1">
      <alignment horizontal="center" vertical="center"/>
    </xf>
    <xf numFmtId="4" fontId="5" fillId="6" borderId="33" xfId="0" applyNumberFormat="1" applyFont="1" applyFill="1" applyBorder="1" applyAlignment="1">
      <alignment horizontal="center" vertical="center"/>
    </xf>
    <xf numFmtId="17" fontId="20" fillId="13" borderId="33" xfId="0" quotePrefix="1" applyNumberFormat="1" applyFont="1" applyFill="1" applyBorder="1" applyAlignment="1">
      <alignment horizontal="center" vertical="center"/>
    </xf>
    <xf numFmtId="14" fontId="20" fillId="5" borderId="40" xfId="0" applyNumberFormat="1" applyFont="1" applyFill="1" applyBorder="1" applyAlignment="1">
      <alignment horizontal="center" vertical="center"/>
    </xf>
    <xf numFmtId="0" fontId="5" fillId="25" borderId="40" xfId="0" applyFont="1" applyFill="1" applyBorder="1" applyAlignment="1">
      <alignment horizontal="center" vertical="center"/>
    </xf>
    <xf numFmtId="0" fontId="20" fillId="15" borderId="40" xfId="0" applyFont="1" applyFill="1" applyBorder="1" applyAlignment="1">
      <alignment horizontal="center" vertical="center"/>
    </xf>
    <xf numFmtId="170" fontId="6" fillId="2" borderId="40" xfId="0" applyNumberFormat="1" applyFont="1" applyFill="1" applyBorder="1" applyAlignment="1">
      <alignment horizontal="center" vertical="center"/>
    </xf>
    <xf numFmtId="2" fontId="5" fillId="6" borderId="40" xfId="0" applyNumberFormat="1" applyFont="1" applyFill="1" applyBorder="1" applyAlignment="1">
      <alignment horizontal="center" vertical="center"/>
    </xf>
    <xf numFmtId="4" fontId="0" fillId="2" borderId="40" xfId="0" applyNumberFormat="1" applyFill="1" applyBorder="1" applyAlignment="1">
      <alignment horizontal="center" vertical="center"/>
    </xf>
    <xf numFmtId="0" fontId="6" fillId="2" borderId="40" xfId="0" applyFont="1" applyFill="1" applyBorder="1" applyAlignment="1">
      <alignment horizontal="center" vertical="center"/>
    </xf>
    <xf numFmtId="0" fontId="8" fillId="2" borderId="40" xfId="0" applyFont="1" applyFill="1" applyBorder="1" applyAlignment="1">
      <alignment horizontal="center" vertical="center"/>
    </xf>
    <xf numFmtId="4" fontId="5" fillId="6" borderId="40" xfId="0" applyNumberFormat="1" applyFont="1" applyFill="1" applyBorder="1" applyAlignment="1">
      <alignment horizontal="center" vertical="center"/>
    </xf>
    <xf numFmtId="17" fontId="20" fillId="13" borderId="40" xfId="0" quotePrefix="1" applyNumberFormat="1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170" fontId="6" fillId="2" borderId="40" xfId="1" applyNumberFormat="1" applyFont="1" applyFill="1" applyBorder="1" applyAlignment="1">
      <alignment horizontal="center" vertical="center"/>
    </xf>
    <xf numFmtId="170" fontId="8" fillId="25" borderId="40" xfId="1" applyNumberFormat="1" applyFont="1" applyFill="1" applyBorder="1" applyAlignment="1">
      <alignment horizontal="center" vertical="center"/>
    </xf>
    <xf numFmtId="0" fontId="5" fillId="24" borderId="40" xfId="0" applyFont="1" applyFill="1" applyBorder="1" applyAlignment="1">
      <alignment horizontal="center" vertical="center"/>
    </xf>
    <xf numFmtId="0" fontId="5" fillId="26" borderId="40" xfId="0" applyFont="1" applyFill="1" applyBorder="1" applyAlignment="1">
      <alignment horizontal="center" vertical="center"/>
    </xf>
    <xf numFmtId="2" fontId="6" fillId="6" borderId="40" xfId="0" applyNumberFormat="1" applyFont="1" applyFill="1" applyBorder="1" applyAlignment="1">
      <alignment horizontal="center" vertical="center"/>
    </xf>
    <xf numFmtId="170" fontId="0" fillId="2" borderId="40" xfId="0" applyNumberFormat="1" applyFill="1" applyBorder="1" applyAlignment="1">
      <alignment horizontal="center" vertical="center"/>
    </xf>
    <xf numFmtId="0" fontId="12" fillId="5" borderId="40" xfId="1" applyFont="1" applyFill="1" applyBorder="1" applyAlignment="1">
      <alignment vertical="center" wrapText="1"/>
    </xf>
    <xf numFmtId="0" fontId="5" fillId="13" borderId="40" xfId="0" applyFont="1" applyFill="1" applyBorder="1" applyAlignment="1">
      <alignment horizontal="center" vertical="center"/>
    </xf>
    <xf numFmtId="17" fontId="20" fillId="2" borderId="40" xfId="0" quotePrefix="1" applyNumberFormat="1" applyFont="1" applyFill="1" applyBorder="1" applyAlignment="1">
      <alignment horizontal="center" vertical="center"/>
    </xf>
    <xf numFmtId="4" fontId="0" fillId="0" borderId="40" xfId="0" applyNumberFormat="1" applyBorder="1" applyAlignment="1">
      <alignment horizontal="center"/>
    </xf>
    <xf numFmtId="0" fontId="12" fillId="3" borderId="33" xfId="1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170" fontId="6" fillId="2" borderId="33" xfId="1" applyNumberFormat="1" applyFont="1" applyFill="1" applyBorder="1" applyAlignment="1">
      <alignment horizontal="center" vertical="center"/>
    </xf>
    <xf numFmtId="170" fontId="8" fillId="2" borderId="33" xfId="1" applyNumberFormat="1" applyFont="1" applyFill="1" applyBorder="1" applyAlignment="1">
      <alignment horizontal="center" vertical="center"/>
    </xf>
    <xf numFmtId="170" fontId="8" fillId="25" borderId="33" xfId="1" applyNumberFormat="1" applyFont="1" applyFill="1" applyBorder="1" applyAlignment="1">
      <alignment horizontal="center" vertical="center"/>
    </xf>
    <xf numFmtId="0" fontId="37" fillId="29" borderId="33" xfId="8" applyFont="1" applyFill="1" applyBorder="1" applyAlignment="1">
      <alignment horizontal="center"/>
    </xf>
    <xf numFmtId="0" fontId="37" fillId="8" borderId="33" xfId="8" applyFont="1" applyFill="1" applyBorder="1" applyAlignment="1">
      <alignment horizontal="center"/>
    </xf>
    <xf numFmtId="49" fontId="44" fillId="31" borderId="33" xfId="8" applyNumberFormat="1" applyFont="1" applyFill="1" applyBorder="1" applyAlignment="1" applyProtection="1">
      <alignment horizontal="center"/>
      <protection locked="0"/>
    </xf>
    <xf numFmtId="0" fontId="44" fillId="31" borderId="33" xfId="8" applyFont="1" applyFill="1" applyBorder="1" applyAlignment="1" applyProtection="1">
      <alignment horizontal="center"/>
      <protection locked="0"/>
    </xf>
    <xf numFmtId="49" fontId="44" fillId="8" borderId="33" xfId="8" applyNumberFormat="1" applyFont="1" applyFill="1" applyBorder="1" applyAlignment="1" applyProtection="1">
      <alignment horizontal="center"/>
      <protection locked="0"/>
    </xf>
    <xf numFmtId="0" fontId="44" fillId="8" borderId="33" xfId="8" applyFont="1" applyFill="1" applyBorder="1" applyAlignment="1" applyProtection="1">
      <alignment horizontal="center"/>
      <protection locked="0"/>
    </xf>
    <xf numFmtId="0" fontId="5" fillId="0" borderId="33" xfId="0" applyFont="1" applyBorder="1" applyAlignment="1">
      <alignment horizontal="center" vertical="center"/>
    </xf>
    <xf numFmtId="0" fontId="34" fillId="0" borderId="33" xfId="0" applyFont="1" applyBorder="1" applyAlignment="1">
      <alignment horizontal="center" vertical="center"/>
    </xf>
    <xf numFmtId="0" fontId="0" fillId="10" borderId="33" xfId="0" applyFill="1" applyBorder="1" applyAlignment="1">
      <alignment horizontal="center" vertical="center"/>
    </xf>
    <xf numFmtId="2" fontId="45" fillId="0" borderId="33" xfId="0" applyNumberFormat="1" applyFont="1" applyBorder="1" applyAlignment="1">
      <alignment horizontal="center"/>
    </xf>
    <xf numFmtId="1" fontId="42" fillId="10" borderId="33" xfId="0" applyNumberFormat="1" applyFont="1" applyFill="1" applyBorder="1"/>
    <xf numFmtId="0" fontId="45" fillId="10" borderId="33" xfId="0" applyFont="1" applyFill="1" applyBorder="1"/>
    <xf numFmtId="2" fontId="0" fillId="6" borderId="33" xfId="0" applyNumberFormat="1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2" fontId="0" fillId="32" borderId="33" xfId="0" applyNumberFormat="1" applyFill="1" applyBorder="1" applyAlignment="1">
      <alignment horizontal="center" vertical="center"/>
    </xf>
    <xf numFmtId="0" fontId="5" fillId="2" borderId="33" xfId="0" applyFont="1" applyFill="1" applyBorder="1" applyAlignment="1">
      <alignment vertical="center"/>
    </xf>
    <xf numFmtId="40" fontId="46" fillId="2" borderId="33" xfId="0" applyNumberFormat="1" applyFont="1" applyFill="1" applyBorder="1" applyAlignment="1">
      <alignment horizontal="center" vertical="center"/>
    </xf>
    <xf numFmtId="178" fontId="34" fillId="15" borderId="33" xfId="0" applyNumberFormat="1" applyFont="1" applyFill="1" applyBorder="1" applyAlignment="1">
      <alignment horizontal="center" vertical="center"/>
    </xf>
    <xf numFmtId="0" fontId="34" fillId="22" borderId="33" xfId="0" applyFont="1" applyFill="1" applyBorder="1" applyAlignment="1">
      <alignment horizontal="center" vertical="center"/>
    </xf>
    <xf numFmtId="0" fontId="47" fillId="11" borderId="33" xfId="0" applyFont="1" applyFill="1" applyBorder="1" applyAlignment="1">
      <alignment horizontal="center" vertical="center" wrapText="1"/>
    </xf>
    <xf numFmtId="0" fontId="48" fillId="20" borderId="33" xfId="0" applyFont="1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2" fontId="47" fillId="31" borderId="33" xfId="0" applyNumberFormat="1" applyFont="1" applyFill="1" applyBorder="1" applyAlignment="1">
      <alignment horizontal="center" vertical="center"/>
    </xf>
    <xf numFmtId="167" fontId="0" fillId="0" borderId="33" xfId="0" applyNumberFormat="1" applyBorder="1"/>
    <xf numFmtId="170" fontId="6" fillId="2" borderId="33" xfId="1" applyNumberFormat="1" applyFont="1" applyFill="1" applyBorder="1" applyAlignment="1">
      <alignment vertical="center"/>
    </xf>
    <xf numFmtId="170" fontId="8" fillId="2" borderId="33" xfId="1" applyNumberFormat="1" applyFont="1" applyFill="1" applyBorder="1" applyAlignment="1">
      <alignment vertical="center"/>
    </xf>
    <xf numFmtId="0" fontId="0" fillId="2" borderId="33" xfId="0" applyFill="1" applyBorder="1" applyAlignment="1">
      <alignment horizontal="center" vertical="center"/>
    </xf>
    <xf numFmtId="170" fontId="8" fillId="5" borderId="33" xfId="1" applyNumberFormat="1" applyFont="1" applyFill="1" applyBorder="1" applyAlignment="1">
      <alignment horizontal="center" vertical="center"/>
    </xf>
    <xf numFmtId="170" fontId="8" fillId="26" borderId="33" xfId="1" applyNumberFormat="1" applyFont="1" applyFill="1" applyBorder="1" applyAlignment="1">
      <alignment horizontal="center" vertical="center"/>
    </xf>
    <xf numFmtId="0" fontId="5" fillId="26" borderId="33" xfId="0" applyFont="1" applyFill="1" applyBorder="1" applyAlignment="1">
      <alignment horizontal="center" vertical="center"/>
    </xf>
    <xf numFmtId="2" fontId="6" fillId="6" borderId="33" xfId="0" applyNumberFormat="1" applyFont="1" applyFill="1" applyBorder="1" applyAlignment="1">
      <alignment horizontal="center" vertical="center"/>
    </xf>
    <xf numFmtId="170" fontId="0" fillId="2" borderId="33" xfId="0" applyNumberFormat="1" applyFill="1" applyBorder="1" applyAlignment="1">
      <alignment horizontal="center" vertical="center"/>
    </xf>
    <xf numFmtId="0" fontId="12" fillId="5" borderId="33" xfId="1" applyFont="1" applyFill="1" applyBorder="1" applyAlignment="1">
      <alignment vertical="center" wrapText="1"/>
    </xf>
    <xf numFmtId="0" fontId="8" fillId="13" borderId="33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/>
    </xf>
    <xf numFmtId="14" fontId="13" fillId="15" borderId="33" xfId="0" applyNumberFormat="1" applyFont="1" applyFill="1" applyBorder="1" applyAlignment="1">
      <alignment horizontal="center" vertical="center"/>
    </xf>
    <xf numFmtId="3" fontId="6" fillId="2" borderId="33" xfId="0" applyNumberFormat="1" applyFont="1" applyFill="1" applyBorder="1" applyAlignment="1">
      <alignment horizontal="center" vertical="center"/>
    </xf>
    <xf numFmtId="17" fontId="11" fillId="2" borderId="33" xfId="0" quotePrefix="1" applyNumberFormat="1" applyFont="1" applyFill="1" applyBorder="1" applyAlignment="1">
      <alignment horizontal="center" vertical="center"/>
    </xf>
    <xf numFmtId="4" fontId="0" fillId="0" borderId="33" xfId="0" applyNumberFormat="1" applyBorder="1" applyAlignment="1">
      <alignment horizontal="center"/>
    </xf>
    <xf numFmtId="43" fontId="26" fillId="2" borderId="33" xfId="9" applyFont="1" applyFill="1" applyBorder="1" applyAlignment="1">
      <alignment horizontal="right" vertical="center" wrapText="1"/>
    </xf>
    <xf numFmtId="43" fontId="24" fillId="2" borderId="33" xfId="9" applyFont="1" applyFill="1" applyBorder="1" applyAlignment="1">
      <alignment horizontal="center" vertical="center" wrapText="1"/>
    </xf>
    <xf numFmtId="43" fontId="24" fillId="0" borderId="33" xfId="9" applyFont="1" applyFill="1" applyBorder="1" applyAlignment="1">
      <alignment horizontal="center" vertical="center" wrapText="1"/>
    </xf>
    <xf numFmtId="43" fontId="26" fillId="20" borderId="33" xfId="9" applyFont="1" applyFill="1" applyBorder="1" applyAlignment="1">
      <alignment horizontal="right" vertical="center" wrapText="1"/>
    </xf>
    <xf numFmtId="176" fontId="6" fillId="0" borderId="33" xfId="0" applyNumberFormat="1" applyFont="1" applyBorder="1" applyAlignment="1">
      <alignment horizontal="center"/>
    </xf>
    <xf numFmtId="167" fontId="6" fillId="0" borderId="33" xfId="0" applyNumberFormat="1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43" fontId="24" fillId="20" borderId="33" xfId="9" applyFont="1" applyFill="1" applyBorder="1" applyAlignment="1">
      <alignment horizontal="center" vertical="center" wrapText="1"/>
    </xf>
    <xf numFmtId="0" fontId="29" fillId="13" borderId="40" xfId="0" applyFont="1" applyFill="1" applyBorder="1" applyAlignment="1">
      <alignment horizontal="center" vertical="center" wrapText="1"/>
    </xf>
    <xf numFmtId="1" fontId="29" fillId="7" borderId="40" xfId="9" applyNumberFormat="1" applyFont="1" applyFill="1" applyBorder="1" applyAlignment="1">
      <alignment horizontal="center" vertical="center"/>
    </xf>
    <xf numFmtId="43" fontId="10" fillId="5" borderId="29" xfId="9" applyFont="1" applyFill="1" applyBorder="1" applyAlignment="1">
      <alignment vertical="center"/>
    </xf>
    <xf numFmtId="170" fontId="6" fillId="2" borderId="0" xfId="1" applyNumberFormat="1" applyFont="1" applyFill="1" applyAlignment="1">
      <alignment horizontal="center" vertical="center"/>
    </xf>
    <xf numFmtId="166" fontId="5" fillId="2" borderId="29" xfId="0" applyNumberFormat="1" applyFont="1" applyFill="1" applyBorder="1" applyAlignment="1">
      <alignment vertical="center"/>
    </xf>
    <xf numFmtId="167" fontId="6" fillId="2" borderId="33" xfId="1" applyNumberFormat="1" applyFont="1" applyFill="1" applyBorder="1" applyAlignment="1">
      <alignment horizontal="center" vertical="center"/>
    </xf>
    <xf numFmtId="166" fontId="6" fillId="2" borderId="33" xfId="1" applyNumberFormat="1" applyFont="1" applyFill="1" applyBorder="1" applyAlignment="1">
      <alignment horizontal="center" vertical="center"/>
    </xf>
    <xf numFmtId="166" fontId="8" fillId="2" borderId="33" xfId="1" applyNumberFormat="1" applyFont="1" applyFill="1" applyBorder="1" applyAlignment="1">
      <alignment horizontal="center" vertical="center"/>
    </xf>
    <xf numFmtId="166" fontId="8" fillId="2" borderId="33" xfId="1" applyNumberFormat="1" applyFont="1" applyFill="1" applyBorder="1" applyAlignment="1">
      <alignment vertical="center"/>
    </xf>
    <xf numFmtId="166" fontId="8" fillId="2" borderId="4" xfId="1" applyNumberFormat="1" applyFont="1" applyFill="1" applyBorder="1" applyAlignment="1">
      <alignment horizontal="center" vertical="center"/>
    </xf>
    <xf numFmtId="0" fontId="25" fillId="11" borderId="19" xfId="0" applyFont="1" applyFill="1" applyBorder="1" applyAlignment="1">
      <alignment horizontal="center" vertical="center" textRotation="90" wrapText="1"/>
    </xf>
    <xf numFmtId="0" fontId="25" fillId="0" borderId="19" xfId="0" applyFont="1" applyBorder="1" applyAlignment="1">
      <alignment horizontal="center" vertical="center" wrapText="1"/>
    </xf>
    <xf numFmtId="0" fontId="0" fillId="12" borderId="29" xfId="0" applyFill="1" applyBorder="1" applyAlignment="1">
      <alignment vertical="center"/>
    </xf>
    <xf numFmtId="0" fontId="0" fillId="12" borderId="29" xfId="0" applyFill="1" applyBorder="1" applyAlignment="1">
      <alignment horizontal="center" vertical="center"/>
    </xf>
    <xf numFmtId="173" fontId="3" fillId="12" borderId="29" xfId="4" applyNumberFormat="1" applyFont="1" applyFill="1" applyBorder="1" applyAlignment="1">
      <alignment vertical="center"/>
    </xf>
    <xf numFmtId="166" fontId="0" fillId="12" borderId="29" xfId="0" applyNumberFormat="1" applyFill="1" applyBorder="1" applyAlignment="1">
      <alignment vertical="center"/>
    </xf>
    <xf numFmtId="164" fontId="0" fillId="12" borderId="29" xfId="0" applyNumberFormat="1" applyFill="1" applyBorder="1" applyAlignment="1">
      <alignment vertical="center"/>
    </xf>
    <xf numFmtId="43" fontId="0" fillId="12" borderId="29" xfId="0" applyNumberFormat="1" applyFill="1" applyBorder="1" applyAlignment="1">
      <alignment vertical="center"/>
    </xf>
    <xf numFmtId="9" fontId="20" fillId="12" borderId="29" xfId="0" applyNumberFormat="1" applyFont="1" applyFill="1" applyBorder="1" applyAlignment="1">
      <alignment vertical="center"/>
    </xf>
    <xf numFmtId="166" fontId="5" fillId="12" borderId="29" xfId="0" applyNumberFormat="1" applyFont="1" applyFill="1" applyBorder="1" applyAlignment="1">
      <alignment vertical="center"/>
    </xf>
    <xf numFmtId="173" fontId="0" fillId="12" borderId="29" xfId="0" applyNumberFormat="1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164" fontId="11" fillId="2" borderId="40" xfId="4" applyFont="1" applyFill="1" applyBorder="1" applyAlignment="1">
      <alignment vertical="center"/>
    </xf>
    <xf numFmtId="43" fontId="0" fillId="0" borderId="40" xfId="0" applyNumberFormat="1" applyBorder="1" applyAlignment="1">
      <alignment horizontal="center"/>
    </xf>
    <xf numFmtId="4" fontId="0" fillId="2" borderId="40" xfId="0" applyNumberFormat="1" applyFill="1" applyBorder="1" applyAlignment="1">
      <alignment vertical="center"/>
    </xf>
    <xf numFmtId="0" fontId="10" fillId="2" borderId="40" xfId="0" applyFont="1" applyFill="1" applyBorder="1" applyAlignment="1">
      <alignment vertical="center"/>
    </xf>
    <xf numFmtId="168" fontId="0" fillId="2" borderId="40" xfId="0" applyNumberFormat="1" applyFill="1" applyBorder="1" applyAlignment="1">
      <alignment vertical="center"/>
    </xf>
    <xf numFmtId="170" fontId="8" fillId="6" borderId="4" xfId="1" applyNumberFormat="1" applyFont="1" applyFill="1" applyBorder="1" applyAlignment="1">
      <alignment horizontal="center" vertical="center"/>
    </xf>
    <xf numFmtId="170" fontId="6" fillId="6" borderId="26" xfId="1" applyNumberFormat="1" applyFont="1" applyFill="1" applyBorder="1" applyAlignment="1">
      <alignment horizontal="center" vertical="center"/>
    </xf>
    <xf numFmtId="167" fontId="6" fillId="2" borderId="26" xfId="1" applyNumberFormat="1" applyFont="1" applyFill="1" applyBorder="1" applyAlignment="1">
      <alignment horizontal="center" vertical="center"/>
    </xf>
    <xf numFmtId="10" fontId="10" fillId="2" borderId="40" xfId="0" applyNumberFormat="1" applyFont="1" applyFill="1" applyBorder="1" applyAlignment="1">
      <alignment horizontal="center" vertical="center"/>
    </xf>
    <xf numFmtId="9" fontId="10" fillId="2" borderId="40" xfId="0" applyNumberFormat="1" applyFont="1" applyFill="1" applyBorder="1" applyAlignment="1">
      <alignment horizontal="center" vertical="center"/>
    </xf>
    <xf numFmtId="14" fontId="0" fillId="2" borderId="40" xfId="0" applyNumberForma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 wrapText="1"/>
    </xf>
    <xf numFmtId="166" fontId="6" fillId="0" borderId="33" xfId="0" applyNumberFormat="1" applyFont="1" applyBorder="1" applyAlignment="1">
      <alignment horizontal="center"/>
    </xf>
    <xf numFmtId="0" fontId="0" fillId="2" borderId="30" xfId="0" applyFill="1" applyBorder="1" applyAlignment="1">
      <alignment vertical="center"/>
    </xf>
    <xf numFmtId="0" fontId="0" fillId="0" borderId="30" xfId="0" applyBorder="1"/>
    <xf numFmtId="0" fontId="0" fillId="24" borderId="22" xfId="0" applyFill="1" applyBorder="1" applyAlignment="1">
      <alignment vertical="center"/>
    </xf>
    <xf numFmtId="0" fontId="0" fillId="24" borderId="0" xfId="0" applyFill="1" applyAlignment="1">
      <alignment vertical="center"/>
    </xf>
    <xf numFmtId="164" fontId="10" fillId="24" borderId="0" xfId="4" applyFont="1" applyFill="1" applyBorder="1" applyAlignment="1">
      <alignment vertical="center"/>
    </xf>
    <xf numFmtId="166" fontId="0" fillId="24" borderId="0" xfId="0" applyNumberFormat="1" applyFill="1" applyAlignment="1">
      <alignment vertical="center"/>
    </xf>
    <xf numFmtId="167" fontId="0" fillId="24" borderId="0" xfId="0" applyNumberFormat="1" applyFill="1" applyAlignment="1">
      <alignment vertical="center"/>
    </xf>
    <xf numFmtId="4" fontId="0" fillId="24" borderId="23" xfId="0" applyNumberFormat="1" applyFill="1" applyBorder="1" applyAlignment="1">
      <alignment vertical="center"/>
    </xf>
    <xf numFmtId="164" fontId="10" fillId="24" borderId="0" xfId="0" applyNumberFormat="1" applyFont="1" applyFill="1" applyAlignment="1">
      <alignment vertical="center"/>
    </xf>
    <xf numFmtId="177" fontId="0" fillId="24" borderId="23" xfId="0" applyNumberFormat="1" applyFill="1" applyBorder="1" applyAlignment="1">
      <alignment vertical="center"/>
    </xf>
    <xf numFmtId="167" fontId="0" fillId="2" borderId="30" xfId="0" applyNumberFormat="1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182" fontId="11" fillId="6" borderId="0" xfId="4" applyNumberFormat="1" applyFont="1" applyFill="1" applyBorder="1" applyAlignment="1">
      <alignment vertical="center"/>
    </xf>
    <xf numFmtId="183" fontId="5" fillId="6" borderId="0" xfId="0" applyNumberFormat="1" applyFont="1" applyFill="1" applyAlignment="1">
      <alignment vertical="center"/>
    </xf>
    <xf numFmtId="0" fontId="0" fillId="12" borderId="40" xfId="0" applyFill="1" applyBorder="1" applyAlignment="1">
      <alignment vertical="center"/>
    </xf>
    <xf numFmtId="173" fontId="0" fillId="12" borderId="40" xfId="0" applyNumberFormat="1" applyFill="1" applyBorder="1" applyAlignment="1">
      <alignment horizontal="center"/>
    </xf>
    <xf numFmtId="170" fontId="0" fillId="12" borderId="40" xfId="0" applyNumberFormat="1" applyFill="1" applyBorder="1" applyAlignment="1">
      <alignment horizontal="center" vertical="center"/>
    </xf>
    <xf numFmtId="4" fontId="0" fillId="12" borderId="40" xfId="0" applyNumberFormat="1" applyFill="1" applyBorder="1" applyAlignment="1">
      <alignment vertical="center"/>
    </xf>
    <xf numFmtId="0" fontId="5" fillId="2" borderId="40" xfId="0" applyFont="1" applyFill="1" applyBorder="1" applyAlignment="1">
      <alignment vertical="center"/>
    </xf>
    <xf numFmtId="173" fontId="0" fillId="0" borderId="40" xfId="0" applyNumberFormat="1" applyBorder="1" applyAlignment="1">
      <alignment horizontal="center"/>
    </xf>
    <xf numFmtId="166" fontId="5" fillId="12" borderId="22" xfId="0" applyNumberFormat="1" applyFont="1" applyFill="1" applyBorder="1" applyAlignment="1">
      <alignment vertical="center"/>
    </xf>
    <xf numFmtId="166" fontId="0" fillId="2" borderId="22" xfId="0" applyNumberForma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0" fillId="2" borderId="48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64" fillId="6" borderId="49" xfId="0" applyFont="1" applyFill="1" applyBorder="1" applyAlignment="1">
      <alignment vertical="center"/>
    </xf>
    <xf numFmtId="164" fontId="11" fillId="2" borderId="40" xfId="4" applyFont="1" applyFill="1" applyBorder="1" applyAlignment="1">
      <alignment horizontal="center" vertical="center"/>
    </xf>
    <xf numFmtId="0" fontId="41" fillId="0" borderId="50" xfId="10" quotePrefix="1" applyFont="1" applyBorder="1" applyAlignment="1">
      <alignment horizontal="left" vertical="center"/>
    </xf>
    <xf numFmtId="0" fontId="41" fillId="0" borderId="50" xfId="10" applyFont="1" applyBorder="1" applyAlignment="1">
      <alignment horizontal="left" vertical="center"/>
    </xf>
    <xf numFmtId="0" fontId="41" fillId="2" borderId="50" xfId="10" quotePrefix="1" applyFont="1" applyFill="1" applyBorder="1" applyAlignment="1">
      <alignment horizontal="left" vertical="center"/>
    </xf>
    <xf numFmtId="14" fontId="0" fillId="2" borderId="33" xfId="0" applyNumberFormat="1" applyFill="1" applyBorder="1" applyAlignment="1">
      <alignment horizontal="center" vertical="center"/>
    </xf>
    <xf numFmtId="166" fontId="6" fillId="6" borderId="33" xfId="1" applyNumberFormat="1" applyFont="1" applyFill="1" applyBorder="1" applyAlignment="1">
      <alignment horizontal="center" vertical="center"/>
    </xf>
    <xf numFmtId="0" fontId="29" fillId="13" borderId="33" xfId="0" applyFont="1" applyFill="1" applyBorder="1" applyAlignment="1">
      <alignment horizontal="center" vertical="center" wrapText="1"/>
    </xf>
    <xf numFmtId="1" fontId="29" fillId="7" borderId="33" xfId="9" applyNumberFormat="1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11" fillId="2" borderId="40" xfId="0" applyFont="1" applyFill="1" applyBorder="1" applyAlignment="1">
      <alignment vertical="center"/>
    </xf>
    <xf numFmtId="0" fontId="5" fillId="2" borderId="23" xfId="0" applyFont="1" applyFill="1" applyBorder="1" applyAlignment="1">
      <alignment horizontal="center" vertical="center"/>
    </xf>
    <xf numFmtId="164" fontId="10" fillId="15" borderId="0" xfId="4" applyFont="1" applyFill="1" applyBorder="1" applyAlignment="1">
      <alignment horizontal="center" vertical="center"/>
    </xf>
    <xf numFmtId="171" fontId="0" fillId="12" borderId="40" xfId="0" applyNumberFormat="1" applyFill="1" applyBorder="1" applyAlignment="1">
      <alignment horizontal="center" vertical="center"/>
    </xf>
    <xf numFmtId="2" fontId="0" fillId="12" borderId="40" xfId="0" applyNumberFormat="1" applyFill="1" applyBorder="1" applyAlignment="1">
      <alignment horizontal="center" vertical="center"/>
    </xf>
    <xf numFmtId="0" fontId="0" fillId="2" borderId="51" xfId="0" applyFill="1" applyBorder="1" applyAlignment="1">
      <alignment vertical="center"/>
    </xf>
    <xf numFmtId="0" fontId="8" fillId="6" borderId="4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1" fontId="29" fillId="6" borderId="33" xfId="9" applyNumberFormat="1" applyFont="1" applyFill="1" applyBorder="1" applyAlignment="1">
      <alignment horizontal="center" vertical="center"/>
    </xf>
    <xf numFmtId="0" fontId="0" fillId="2" borderId="54" xfId="0" applyFill="1" applyBorder="1" applyAlignment="1">
      <alignment vertical="center"/>
    </xf>
    <xf numFmtId="0" fontId="0" fillId="2" borderId="55" xfId="0" applyFill="1" applyBorder="1" applyAlignment="1">
      <alignment vertical="center"/>
    </xf>
    <xf numFmtId="0" fontId="0" fillId="2" borderId="56" xfId="0" applyFill="1" applyBorder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/>
    <xf numFmtId="177" fontId="0" fillId="6" borderId="0" xfId="0" applyNumberFormat="1" applyFill="1" applyAlignment="1">
      <alignment vertical="center"/>
    </xf>
    <xf numFmtId="0" fontId="5" fillId="6" borderId="40" xfId="0" applyFont="1" applyFill="1" applyBorder="1" applyAlignment="1">
      <alignment horizontal="center"/>
    </xf>
    <xf numFmtId="4" fontId="24" fillId="0" borderId="15" xfId="0" applyNumberFormat="1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0" fontId="5" fillId="11" borderId="15" xfId="0" applyFont="1" applyFill="1" applyBorder="1" applyAlignment="1">
      <alignment horizontal="left"/>
    </xf>
    <xf numFmtId="0" fontId="5" fillId="11" borderId="16" xfId="0" applyFont="1" applyFill="1" applyBorder="1" applyAlignment="1">
      <alignment horizontal="left"/>
    </xf>
    <xf numFmtId="0" fontId="5" fillId="11" borderId="17" xfId="0" applyFont="1" applyFill="1" applyBorder="1" applyAlignment="1">
      <alignment horizontal="left"/>
    </xf>
    <xf numFmtId="0" fontId="62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4" fontId="61" fillId="0" borderId="15" xfId="0" applyNumberFormat="1" applyFont="1" applyBorder="1" applyAlignment="1">
      <alignment horizontal="center" vertical="center"/>
    </xf>
    <xf numFmtId="4" fontId="61" fillId="0" borderId="16" xfId="0" applyNumberFormat="1" applyFont="1" applyBorder="1" applyAlignment="1">
      <alignment horizontal="center" vertical="center"/>
    </xf>
    <xf numFmtId="4" fontId="61" fillId="0" borderId="17" xfId="0" applyNumberFormat="1" applyFont="1" applyBorder="1" applyAlignment="1">
      <alignment horizontal="center" vertical="center"/>
    </xf>
    <xf numFmtId="0" fontId="60" fillId="11" borderId="15" xfId="0" applyFont="1" applyFill="1" applyBorder="1" applyAlignment="1">
      <alignment horizontal="center" vertical="center"/>
    </xf>
    <xf numFmtId="0" fontId="60" fillId="11" borderId="16" xfId="0" applyFont="1" applyFill="1" applyBorder="1" applyAlignment="1">
      <alignment horizontal="center" vertical="center"/>
    </xf>
    <xf numFmtId="0" fontId="60" fillId="11" borderId="17" xfId="0" applyFont="1" applyFill="1" applyBorder="1" applyAlignment="1">
      <alignment horizontal="center" vertical="center"/>
    </xf>
    <xf numFmtId="0" fontId="60" fillId="11" borderId="15" xfId="0" applyFont="1" applyFill="1" applyBorder="1" applyAlignment="1">
      <alignment horizontal="center" vertical="center" wrapText="1"/>
    </xf>
    <xf numFmtId="0" fontId="60" fillId="11" borderId="16" xfId="0" applyFont="1" applyFill="1" applyBorder="1" applyAlignment="1">
      <alignment horizontal="center" vertical="center" wrapText="1"/>
    </xf>
    <xf numFmtId="0" fontId="60" fillId="11" borderId="17" xfId="0" applyFont="1" applyFill="1" applyBorder="1" applyAlignment="1">
      <alignment horizontal="center" vertical="center" wrapText="1"/>
    </xf>
    <xf numFmtId="0" fontId="52" fillId="11" borderId="15" xfId="0" applyFont="1" applyFill="1" applyBorder="1" applyAlignment="1">
      <alignment horizontal="center" vertical="center" wrapText="1"/>
    </xf>
    <xf numFmtId="0" fontId="52" fillId="11" borderId="16" xfId="0" applyFont="1" applyFill="1" applyBorder="1" applyAlignment="1">
      <alignment horizontal="center" vertical="center" wrapText="1"/>
    </xf>
    <xf numFmtId="0" fontId="52" fillId="11" borderId="17" xfId="0" applyFont="1" applyFill="1" applyBorder="1" applyAlignment="1">
      <alignment horizontal="center" vertical="center" wrapText="1"/>
    </xf>
    <xf numFmtId="4" fontId="61" fillId="0" borderId="15" xfId="0" applyNumberFormat="1" applyFont="1" applyBorder="1" applyAlignment="1">
      <alignment horizontal="center" vertical="center" wrapText="1"/>
    </xf>
    <xf numFmtId="4" fontId="61" fillId="0" borderId="16" xfId="0" applyNumberFormat="1" applyFont="1" applyBorder="1" applyAlignment="1">
      <alignment horizontal="center" vertical="center" wrapText="1"/>
    </xf>
    <xf numFmtId="4" fontId="61" fillId="0" borderId="17" xfId="0" applyNumberFormat="1" applyFont="1" applyBorder="1" applyAlignment="1">
      <alignment horizontal="center" vertical="center" wrapText="1"/>
    </xf>
    <xf numFmtId="4" fontId="56" fillId="10" borderId="40" xfId="0" applyNumberFormat="1" applyFont="1" applyFill="1" applyBorder="1" applyAlignment="1">
      <alignment horizontal="left" vertical="center"/>
    </xf>
    <xf numFmtId="0" fontId="23" fillId="11" borderId="15" xfId="0" applyFont="1" applyFill="1" applyBorder="1" applyAlignment="1">
      <alignment horizontal="center" vertical="center" wrapText="1"/>
    </xf>
    <xf numFmtId="0" fontId="23" fillId="11" borderId="16" xfId="0" applyFont="1" applyFill="1" applyBorder="1" applyAlignment="1">
      <alignment horizontal="center" vertical="center" wrapText="1"/>
    </xf>
    <xf numFmtId="0" fontId="23" fillId="11" borderId="17" xfId="0" applyFont="1" applyFill="1" applyBorder="1" applyAlignment="1">
      <alignment horizontal="center" vertical="center" wrapText="1"/>
    </xf>
    <xf numFmtId="10" fontId="24" fillId="10" borderId="15" xfId="0" applyNumberFormat="1" applyFont="1" applyFill="1" applyBorder="1" applyAlignment="1">
      <alignment horizontal="center" vertical="center" wrapText="1"/>
    </xf>
    <xf numFmtId="10" fontId="24" fillId="10" borderId="16" xfId="0" applyNumberFormat="1" applyFont="1" applyFill="1" applyBorder="1" applyAlignment="1">
      <alignment horizontal="center" vertical="center" wrapText="1"/>
    </xf>
    <xf numFmtId="10" fontId="24" fillId="10" borderId="17" xfId="0" applyNumberFormat="1" applyFont="1" applyFill="1" applyBorder="1" applyAlignment="1">
      <alignment horizontal="center" vertical="center" wrapText="1"/>
    </xf>
    <xf numFmtId="4" fontId="24" fillId="10" borderId="15" xfId="0" applyNumberFormat="1" applyFont="1" applyFill="1" applyBorder="1" applyAlignment="1">
      <alignment horizontal="center" vertical="center" wrapText="1"/>
    </xf>
    <xf numFmtId="4" fontId="24" fillId="10" borderId="16" xfId="0" applyNumberFormat="1" applyFont="1" applyFill="1" applyBorder="1" applyAlignment="1">
      <alignment horizontal="center" vertical="center" wrapText="1"/>
    </xf>
    <xf numFmtId="4" fontId="24" fillId="10" borderId="17" xfId="0" applyNumberFormat="1" applyFont="1" applyFill="1" applyBorder="1" applyAlignment="1">
      <alignment horizontal="center" vertical="center" wrapText="1"/>
    </xf>
    <xf numFmtId="0" fontId="24" fillId="10" borderId="15" xfId="0" applyFont="1" applyFill="1" applyBorder="1" applyAlignment="1">
      <alignment horizontal="center" vertical="center" wrapText="1"/>
    </xf>
    <xf numFmtId="0" fontId="24" fillId="10" borderId="16" xfId="0" applyFont="1" applyFill="1" applyBorder="1" applyAlignment="1">
      <alignment horizontal="center" vertical="center" wrapText="1"/>
    </xf>
    <xf numFmtId="0" fontId="24" fillId="10" borderId="17" xfId="0" applyFont="1" applyFill="1" applyBorder="1" applyAlignment="1">
      <alignment horizontal="center" vertical="center" wrapText="1"/>
    </xf>
    <xf numFmtId="0" fontId="55" fillId="0" borderId="15" xfId="0" applyFont="1" applyBorder="1" applyAlignment="1">
      <alignment vertical="center"/>
    </xf>
    <xf numFmtId="0" fontId="55" fillId="0" borderId="16" xfId="0" applyFont="1" applyBorder="1" applyAlignment="1">
      <alignment vertical="center"/>
    </xf>
    <xf numFmtId="0" fontId="55" fillId="0" borderId="17" xfId="0" applyFont="1" applyBorder="1" applyAlignment="1">
      <alignment vertical="center"/>
    </xf>
    <xf numFmtId="0" fontId="5" fillId="11" borderId="47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10" fontId="56" fillId="10" borderId="40" xfId="0" applyNumberFormat="1" applyFont="1" applyFill="1" applyBorder="1" applyAlignment="1">
      <alignment horizontal="left" vertical="center"/>
    </xf>
    <xf numFmtId="181" fontId="56" fillId="10" borderId="40" xfId="0" applyNumberFormat="1" applyFont="1" applyFill="1" applyBorder="1" applyAlignment="1">
      <alignment horizontal="left" vertical="center"/>
    </xf>
    <xf numFmtId="0" fontId="25" fillId="2" borderId="16" xfId="0" applyFont="1" applyFill="1" applyBorder="1" applyAlignment="1">
      <alignment horizontal="center" vertical="center"/>
    </xf>
    <xf numFmtId="4" fontId="0" fillId="2" borderId="15" xfId="0" applyNumberFormat="1" applyFill="1" applyBorder="1" applyAlignment="1">
      <alignment horizontal="center"/>
    </xf>
    <xf numFmtId="4" fontId="0" fillId="2" borderId="16" xfId="0" applyNumberFormat="1" applyFill="1" applyBorder="1" applyAlignment="1">
      <alignment horizontal="center"/>
    </xf>
    <xf numFmtId="4" fontId="0" fillId="2" borderId="17" xfId="0" applyNumberForma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5" fillId="11" borderId="17" xfId="0" applyFont="1" applyFill="1" applyBorder="1" applyAlignment="1">
      <alignment horizontal="center"/>
    </xf>
    <xf numFmtId="0" fontId="47" fillId="11" borderId="18" xfId="0" applyFont="1" applyFill="1" applyBorder="1" applyAlignment="1">
      <alignment horizontal="center" vertical="center"/>
    </xf>
    <xf numFmtId="0" fontId="47" fillId="11" borderId="20" xfId="0" applyFont="1" applyFill="1" applyBorder="1" applyAlignment="1">
      <alignment horizontal="center" vertical="center"/>
    </xf>
    <xf numFmtId="0" fontId="47" fillId="11" borderId="15" xfId="0" applyFont="1" applyFill="1" applyBorder="1" applyAlignment="1">
      <alignment horizontal="center" vertical="center"/>
    </xf>
    <xf numFmtId="0" fontId="47" fillId="11" borderId="16" xfId="0" applyFont="1" applyFill="1" applyBorder="1" applyAlignment="1">
      <alignment horizontal="center" vertical="center"/>
    </xf>
    <xf numFmtId="0" fontId="47" fillId="11" borderId="17" xfId="0" applyFont="1" applyFill="1" applyBorder="1" applyAlignment="1">
      <alignment horizontal="center" vertical="center"/>
    </xf>
    <xf numFmtId="0" fontId="23" fillId="11" borderId="15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3" fillId="11" borderId="17" xfId="0" applyFont="1" applyFill="1" applyBorder="1" applyAlignment="1">
      <alignment horizontal="center" vertical="center"/>
    </xf>
    <xf numFmtId="0" fontId="52" fillId="11" borderId="15" xfId="0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0" fontId="52" fillId="11" borderId="17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47" fillId="0" borderId="15" xfId="0" applyFont="1" applyBorder="1" applyAlignment="1">
      <alignment horizontal="center" vertical="center" wrapText="1"/>
    </xf>
    <xf numFmtId="0" fontId="47" fillId="0" borderId="16" xfId="0" applyFont="1" applyBorder="1" applyAlignment="1">
      <alignment horizontal="center" vertical="center" wrapText="1"/>
    </xf>
    <xf numFmtId="0" fontId="47" fillId="0" borderId="17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 wrapText="1"/>
    </xf>
    <xf numFmtId="0" fontId="27" fillId="0" borderId="16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 wrapText="1"/>
    </xf>
    <xf numFmtId="0" fontId="47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7" fillId="0" borderId="45" xfId="0" applyFont="1" applyBorder="1" applyAlignment="1">
      <alignment horizontal="center" vertical="center" wrapText="1"/>
    </xf>
    <xf numFmtId="0" fontId="47" fillId="0" borderId="46" xfId="0" applyFont="1" applyBorder="1" applyAlignment="1">
      <alignment horizontal="center" vertical="center"/>
    </xf>
    <xf numFmtId="0" fontId="47" fillId="0" borderId="43" xfId="0" applyFont="1" applyBorder="1" applyAlignment="1">
      <alignment horizontal="center" vertical="center"/>
    </xf>
    <xf numFmtId="0" fontId="47" fillId="0" borderId="44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8" fillId="11" borderId="18" xfId="0" applyFont="1" applyFill="1" applyBorder="1" applyAlignment="1">
      <alignment horizontal="left" vertical="center" wrapText="1"/>
    </xf>
    <xf numFmtId="0" fontId="48" fillId="11" borderId="20" xfId="0" applyFont="1" applyFill="1" applyBorder="1" applyAlignment="1">
      <alignment horizontal="left" vertical="center" wrapText="1"/>
    </xf>
    <xf numFmtId="0" fontId="47" fillId="0" borderId="46" xfId="0" applyFont="1" applyBorder="1" applyAlignment="1">
      <alignment horizontal="center" vertical="center" wrapText="1"/>
    </xf>
    <xf numFmtId="0" fontId="47" fillId="0" borderId="43" xfId="0" applyFont="1" applyBorder="1" applyAlignment="1">
      <alignment horizontal="center" vertical="center" wrapText="1"/>
    </xf>
    <xf numFmtId="0" fontId="47" fillId="0" borderId="47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2" xfId="0" applyFont="1" applyBorder="1" applyAlignment="1">
      <alignment horizontal="center" vertical="center" wrapText="1"/>
    </xf>
    <xf numFmtId="0" fontId="23" fillId="11" borderId="15" xfId="0" applyFont="1" applyFill="1" applyBorder="1" applyAlignment="1">
      <alignment horizontal="center"/>
    </xf>
    <xf numFmtId="0" fontId="23" fillId="11" borderId="16" xfId="0" applyFont="1" applyFill="1" applyBorder="1" applyAlignment="1">
      <alignment horizontal="center"/>
    </xf>
    <xf numFmtId="0" fontId="23" fillId="11" borderId="17" xfId="0" applyFont="1" applyFill="1" applyBorder="1" applyAlignment="1">
      <alignment horizontal="center"/>
    </xf>
    <xf numFmtId="0" fontId="47" fillId="11" borderId="15" xfId="0" applyFont="1" applyFill="1" applyBorder="1" applyAlignment="1">
      <alignment horizontal="center" vertical="center" wrapText="1"/>
    </xf>
    <xf numFmtId="0" fontId="47" fillId="11" borderId="16" xfId="0" applyFont="1" applyFill="1" applyBorder="1" applyAlignment="1">
      <alignment horizontal="center" vertical="center" wrapText="1"/>
    </xf>
    <xf numFmtId="0" fontId="47" fillId="11" borderId="17" xfId="0" applyFont="1" applyFill="1" applyBorder="1" applyAlignment="1">
      <alignment horizontal="center" vertical="center" wrapText="1"/>
    </xf>
    <xf numFmtId="0" fontId="47" fillId="0" borderId="44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3" xfId="0" applyFont="1" applyBorder="1" applyAlignment="1">
      <alignment horizontal="center" vertical="center" wrapText="1"/>
    </xf>
    <xf numFmtId="0" fontId="27" fillId="0" borderId="45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 textRotation="90" wrapText="1"/>
    </xf>
    <xf numFmtId="0" fontId="25" fillId="11" borderId="19" xfId="0" applyFont="1" applyFill="1" applyBorder="1" applyAlignment="1">
      <alignment horizontal="center" vertical="center" textRotation="90" wrapText="1"/>
    </xf>
    <xf numFmtId="0" fontId="25" fillId="11" borderId="20" xfId="0" applyFont="1" applyFill="1" applyBorder="1" applyAlignment="1">
      <alignment horizontal="center" vertical="center" textRotation="90" wrapText="1"/>
    </xf>
    <xf numFmtId="0" fontId="25" fillId="0" borderId="18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11" borderId="18" xfId="0" applyFont="1" applyFill="1" applyBorder="1" applyAlignment="1">
      <alignment horizontal="center" vertical="center" wrapText="1"/>
    </xf>
    <xf numFmtId="0" fontId="25" fillId="11" borderId="19" xfId="0" applyFont="1" applyFill="1" applyBorder="1" applyAlignment="1">
      <alignment horizontal="center" vertical="center" wrapText="1"/>
    </xf>
    <xf numFmtId="0" fontId="25" fillId="11" borderId="20" xfId="0" applyFont="1" applyFill="1" applyBorder="1" applyAlignment="1">
      <alignment horizontal="center" vertical="center" wrapText="1"/>
    </xf>
    <xf numFmtId="0" fontId="27" fillId="11" borderId="15" xfId="0" applyFont="1" applyFill="1" applyBorder="1" applyAlignment="1">
      <alignment horizontal="center" vertical="center" wrapText="1"/>
    </xf>
    <xf numFmtId="0" fontId="27" fillId="11" borderId="16" xfId="0" applyFont="1" applyFill="1" applyBorder="1" applyAlignment="1">
      <alignment horizontal="center" vertical="center" wrapText="1"/>
    </xf>
    <xf numFmtId="0" fontId="27" fillId="11" borderId="17" xfId="0" applyFont="1" applyFill="1" applyBorder="1" applyAlignment="1">
      <alignment horizontal="center" vertical="center" wrapText="1"/>
    </xf>
    <xf numFmtId="0" fontId="5" fillId="25" borderId="40" xfId="0" applyFont="1" applyFill="1" applyBorder="1" applyAlignment="1">
      <alignment horizontal="center"/>
    </xf>
    <xf numFmtId="0" fontId="25" fillId="11" borderId="15" xfId="0" applyFont="1" applyFill="1" applyBorder="1" applyAlignment="1">
      <alignment horizontal="center" vertical="center" wrapText="1"/>
    </xf>
    <xf numFmtId="0" fontId="25" fillId="11" borderId="17" xfId="0" applyFont="1" applyFill="1" applyBorder="1" applyAlignment="1">
      <alignment horizontal="center" vertical="center" wrapText="1"/>
    </xf>
    <xf numFmtId="0" fontId="25" fillId="11" borderId="16" xfId="0" applyFont="1" applyFill="1" applyBorder="1" applyAlignment="1">
      <alignment horizontal="center" vertical="center" wrapText="1"/>
    </xf>
    <xf numFmtId="0" fontId="49" fillId="0" borderId="18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 wrapText="1"/>
    </xf>
    <xf numFmtId="0" fontId="49" fillId="0" borderId="20" xfId="0" applyFont="1" applyBorder="1" applyAlignment="1">
      <alignment horizontal="center" vertical="center" wrapText="1"/>
    </xf>
    <xf numFmtId="0" fontId="49" fillId="6" borderId="18" xfId="0" applyFont="1" applyFill="1" applyBorder="1" applyAlignment="1">
      <alignment horizontal="center" vertical="center" wrapText="1"/>
    </xf>
    <xf numFmtId="0" fontId="49" fillId="6" borderId="19" xfId="0" applyFont="1" applyFill="1" applyBorder="1" applyAlignment="1">
      <alignment horizontal="center" vertical="center" wrapText="1"/>
    </xf>
    <xf numFmtId="0" fontId="49" fillId="6" borderId="20" xfId="0" applyFont="1" applyFill="1" applyBorder="1" applyAlignment="1">
      <alignment horizontal="center" vertical="center" wrapText="1"/>
    </xf>
    <xf numFmtId="0" fontId="20" fillId="6" borderId="40" xfId="0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0" fontId="17" fillId="11" borderId="43" xfId="0" applyFont="1" applyFill="1" applyBorder="1" applyAlignment="1">
      <alignment horizontal="center" textRotation="45"/>
    </xf>
    <xf numFmtId="0" fontId="17" fillId="11" borderId="3" xfId="0" applyFont="1" applyFill="1" applyBorder="1" applyAlignment="1">
      <alignment horizontal="center" textRotation="45"/>
    </xf>
    <xf numFmtId="0" fontId="17" fillId="11" borderId="2" xfId="0" applyFont="1" applyFill="1" applyBorder="1" applyAlignment="1">
      <alignment horizontal="center" textRotation="45"/>
    </xf>
    <xf numFmtId="0" fontId="34" fillId="11" borderId="18" xfId="0" applyFont="1" applyFill="1" applyBorder="1" applyAlignment="1">
      <alignment horizontal="center" vertical="center" wrapText="1"/>
    </xf>
    <xf numFmtId="0" fontId="34" fillId="11" borderId="19" xfId="0" applyFont="1" applyFill="1" applyBorder="1" applyAlignment="1">
      <alignment horizontal="center" vertical="center" wrapText="1"/>
    </xf>
    <xf numFmtId="0" fontId="34" fillId="11" borderId="20" xfId="0" applyFont="1" applyFill="1" applyBorder="1" applyAlignment="1">
      <alignment horizontal="center" vertical="center" wrapText="1"/>
    </xf>
    <xf numFmtId="0" fontId="34" fillId="11" borderId="15" xfId="0" applyFont="1" applyFill="1" applyBorder="1" applyAlignment="1">
      <alignment horizontal="center" vertical="center" wrapText="1"/>
    </xf>
    <xf numFmtId="0" fontId="34" fillId="11" borderId="16" xfId="0" applyFont="1" applyFill="1" applyBorder="1" applyAlignment="1">
      <alignment horizontal="center" vertical="center" wrapText="1"/>
    </xf>
    <xf numFmtId="0" fontId="34" fillId="11" borderId="17" xfId="0" applyFont="1" applyFill="1" applyBorder="1" applyAlignment="1">
      <alignment horizontal="center" vertical="center" wrapText="1"/>
    </xf>
    <xf numFmtId="0" fontId="37" fillId="6" borderId="0" xfId="0" applyFont="1" applyFill="1" applyAlignment="1" applyProtection="1">
      <alignment horizontal="center" vertical="center" wrapText="1"/>
      <protection locked="0"/>
    </xf>
    <xf numFmtId="0" fontId="43" fillId="25" borderId="33" xfId="0" applyFont="1" applyFill="1" applyBorder="1" applyAlignment="1">
      <alignment horizontal="center" vertical="center" wrapText="1"/>
    </xf>
    <xf numFmtId="170" fontId="8" fillId="25" borderId="35" xfId="1" applyNumberFormat="1" applyFont="1" applyFill="1" applyBorder="1" applyAlignment="1">
      <alignment horizontal="center" vertical="center"/>
    </xf>
    <xf numFmtId="170" fontId="8" fillId="25" borderId="53" xfId="1" applyNumberFormat="1" applyFont="1" applyFill="1" applyBorder="1" applyAlignment="1">
      <alignment horizontal="center" vertical="center"/>
    </xf>
    <xf numFmtId="170" fontId="8" fillId="25" borderId="31" xfId="1" applyNumberFormat="1" applyFont="1" applyFill="1" applyBorder="1" applyAlignment="1">
      <alignment horizontal="center" vertical="center"/>
    </xf>
    <xf numFmtId="0" fontId="20" fillId="2" borderId="35" xfId="0" applyFont="1" applyFill="1" applyBorder="1" applyAlignment="1">
      <alignment horizontal="center" vertical="center"/>
    </xf>
    <xf numFmtId="0" fontId="20" fillId="2" borderId="53" xfId="0" applyFont="1" applyFill="1" applyBorder="1" applyAlignment="1">
      <alignment horizontal="center" vertical="center"/>
    </xf>
    <xf numFmtId="0" fontId="20" fillId="2" borderId="31" xfId="0" applyFont="1" applyFill="1" applyBorder="1" applyAlignment="1">
      <alignment horizontal="center" vertical="center"/>
    </xf>
    <xf numFmtId="0" fontId="11" fillId="34" borderId="40" xfId="0" applyFont="1" applyFill="1" applyBorder="1" applyAlignment="1">
      <alignment horizontal="center" vertical="center"/>
    </xf>
    <xf numFmtId="4" fontId="0" fillId="0" borderId="40" xfId="0" applyNumberForma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12" borderId="35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4" fontId="0" fillId="0" borderId="35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5" fillId="2" borderId="21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center" vertical="center" wrapText="1"/>
    </xf>
    <xf numFmtId="0" fontId="20" fillId="25" borderId="35" xfId="0" applyFont="1" applyFill="1" applyBorder="1" applyAlignment="1">
      <alignment horizontal="center" vertical="center"/>
    </xf>
    <xf numFmtId="0" fontId="20" fillId="25" borderId="31" xfId="0" applyFont="1" applyFill="1" applyBorder="1" applyAlignment="1">
      <alignment horizontal="center" vertical="center"/>
    </xf>
    <xf numFmtId="0" fontId="5" fillId="34" borderId="8" xfId="0" applyFont="1" applyFill="1" applyBorder="1" applyAlignment="1">
      <alignment horizontal="center" vertical="center"/>
    </xf>
    <xf numFmtId="0" fontId="5" fillId="34" borderId="9" xfId="0" applyFont="1" applyFill="1" applyBorder="1" applyAlignment="1">
      <alignment horizontal="center" vertical="center"/>
    </xf>
    <xf numFmtId="0" fontId="5" fillId="34" borderId="10" xfId="0" applyFont="1" applyFill="1" applyBorder="1" applyAlignment="1">
      <alignment horizontal="center" vertical="center"/>
    </xf>
    <xf numFmtId="0" fontId="11" fillId="25" borderId="0" xfId="0" applyFont="1" applyFill="1" applyAlignment="1">
      <alignment horizontal="center" vertical="center"/>
    </xf>
    <xf numFmtId="170" fontId="8" fillId="25" borderId="40" xfId="1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0" fillId="6" borderId="40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6" borderId="16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2" fillId="6" borderId="4" xfId="1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12" fillId="6" borderId="40" xfId="1" applyFont="1" applyFill="1" applyBorder="1" applyAlignment="1">
      <alignment horizontal="center" vertical="center" wrapText="1"/>
    </xf>
    <xf numFmtId="170" fontId="18" fillId="4" borderId="0" xfId="1" applyNumberFormat="1" applyFont="1" applyFill="1" applyAlignment="1">
      <alignment horizontal="center" vertical="center"/>
    </xf>
    <xf numFmtId="170" fontId="18" fillId="4" borderId="32" xfId="1" applyNumberFormat="1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12" fillId="5" borderId="40" xfId="1" applyFont="1" applyFill="1" applyBorder="1" applyAlignment="1">
      <alignment horizontal="center" vertical="center" wrapText="1"/>
    </xf>
    <xf numFmtId="0" fontId="0" fillId="2" borderId="2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2" fillId="5" borderId="13" xfId="1" applyFont="1" applyFill="1" applyBorder="1" applyAlignment="1">
      <alignment horizontal="center" vertical="center" wrapText="1"/>
    </xf>
    <xf numFmtId="0" fontId="12" fillId="5" borderId="14" xfId="1" applyFont="1" applyFill="1" applyBorder="1" applyAlignment="1">
      <alignment horizontal="center" vertical="center" wrapText="1"/>
    </xf>
    <xf numFmtId="0" fontId="12" fillId="5" borderId="12" xfId="1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left" vertical="center"/>
    </xf>
    <xf numFmtId="0" fontId="12" fillId="3" borderId="4" xfId="1" applyFont="1" applyFill="1" applyBorder="1" applyAlignment="1">
      <alignment horizontal="center" vertical="center" wrapText="1"/>
    </xf>
    <xf numFmtId="0" fontId="5" fillId="23" borderId="0" xfId="0" applyFont="1" applyFill="1" applyAlignment="1">
      <alignment horizontal="center" vertical="center"/>
    </xf>
    <xf numFmtId="4" fontId="0" fillId="0" borderId="3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5" fillId="2" borderId="33" xfId="0" applyFont="1" applyFill="1" applyBorder="1" applyAlignment="1">
      <alignment horizontal="center" vertical="center"/>
    </xf>
    <xf numFmtId="0" fontId="12" fillId="5" borderId="33" xfId="1" applyFont="1" applyFill="1" applyBorder="1" applyAlignment="1">
      <alignment horizontal="center" vertical="center" wrapText="1"/>
    </xf>
    <xf numFmtId="0" fontId="12" fillId="6" borderId="33" xfId="1" applyFont="1" applyFill="1" applyBorder="1" applyAlignment="1">
      <alignment horizontal="center" vertical="center" wrapText="1"/>
    </xf>
    <xf numFmtId="0" fontId="48" fillId="11" borderId="33" xfId="0" applyFont="1" applyFill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47" fillId="11" borderId="33" xfId="0" applyFont="1" applyFill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6" fillId="0" borderId="34" xfId="0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</cellXfs>
  <cellStyles count="11">
    <cellStyle name="A3 297 x 420 mm" xfId="2" xr:uid="{00000000-0005-0000-0000-000000000000}"/>
    <cellStyle name="Moeda 2" xfId="3" xr:uid="{00000000-0005-0000-0000-000001000000}"/>
    <cellStyle name="Normal" xfId="0" builtinId="0"/>
    <cellStyle name="Normal 2" xfId="1" xr:uid="{00000000-0005-0000-0000-000003000000}"/>
    <cellStyle name="Normal 3" xfId="8" xr:uid="{00000000-0005-0000-0000-000004000000}"/>
    <cellStyle name="Normal 5 2" xfId="7" xr:uid="{00000000-0005-0000-0000-000005000000}"/>
    <cellStyle name="Normal_rlt_resumo" xfId="10" xr:uid="{00000000-0005-0000-0000-000006000000}"/>
    <cellStyle name="Porcentagem" xfId="5" builtinId="5"/>
    <cellStyle name="Vírgula" xfId="4" builtinId="3"/>
    <cellStyle name="Vírgula 2" xfId="6" xr:uid="{00000000-0005-0000-0000-000009000000}"/>
    <cellStyle name="Vírgula 3" xfId="9" xr:uid="{00000000-0005-0000-0000-00000A000000}"/>
  </cellStyles>
  <dxfs count="238"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</dxfs>
  <tableStyles count="0" defaultTableStyle="TableStyleMedium2" defaultPivotStyle="PivotStyleLight16"/>
  <colors>
    <mruColors>
      <color rgb="FF0000FF"/>
      <color rgb="FFFF0000"/>
      <color rgb="FF9D1EB2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11</xdr:col>
      <xdr:colOff>551619</xdr:colOff>
      <xdr:row>22</xdr:row>
      <xdr:rowOff>113786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A72CE55-291C-EA87-9959-C2205C71B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84150"/>
          <a:ext cx="6647619" cy="398093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dponcloud-my.sharepoint.com/Users/b298267/OneDrive%20-%20EDP/Desktop/CTESTE%20MP%201300/E5Q%20CHAVE%20LIGADA/CTESTE/EDP_ES_RTA_2025_Modelo_Grupo%20B_TB_L35_2025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dponcloud-my.sharepoint.com/Users/b298267/OneDrive%20-%20EDP/General/2025/CELULA%20QUALIDADE/CTESTE%202025/CTESTE%20FEITAS/AGOSTO2025/CTESTE%20FIO%20B%20,COMP,%20ESC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1 (Res) Branca OK"/>
      <sheetName val="B2 (Rural) Branca"/>
      <sheetName val="B2 (Rural Irrig) Branca OK"/>
      <sheetName val="B3 Branca OK"/>
      <sheetName val="B3 PPF Branca OK"/>
      <sheetName val="B3CP Branca OK"/>
      <sheetName val="FIO B"/>
      <sheetName val="TABELA DE TARIFAS ANTIGAS"/>
      <sheetName val="TABELA DE TARIFAS NOVAS"/>
      <sheetName val="O3 Branca"/>
      <sheetName val="B3 Branca (AES) NÃO"/>
    </sheetNames>
    <sheetDataSet>
      <sheetData sheetId="0" refreshError="1">
        <row r="2">
          <cell r="F2">
            <v>45876</v>
          </cell>
        </row>
        <row r="3">
          <cell r="N3">
            <v>0</v>
          </cell>
        </row>
        <row r="4">
          <cell r="C4" t="str">
            <v>TARIFA ANTIGA - REH 3241/2023</v>
          </cell>
          <cell r="F4" t="str">
            <v>TARIFA NOVA - REH xxxx/2024</v>
          </cell>
          <cell r="N4">
            <v>1.8849999999999999E-2</v>
          </cell>
        </row>
        <row r="5">
          <cell r="N5">
            <v>4.4630000000000003E-2</v>
          </cell>
        </row>
        <row r="6">
          <cell r="C6">
            <v>0.80935000000000001</v>
          </cell>
          <cell r="D6">
            <v>0.45611000000000002</v>
          </cell>
          <cell r="E6">
            <v>1.26546</v>
          </cell>
          <cell r="F6">
            <v>0.93761000000000005</v>
          </cell>
          <cell r="G6">
            <v>0.48448000000000002</v>
          </cell>
          <cell r="H6">
            <v>1.4220900000000001</v>
          </cell>
          <cell r="I6">
            <v>0.82878333333333332</v>
          </cell>
          <cell r="J6">
            <v>0.4604084848484849</v>
          </cell>
          <cell r="N6">
            <v>7.8770000000000007E-2</v>
          </cell>
        </row>
        <row r="7">
          <cell r="C7">
            <v>0.28452999999999995</v>
          </cell>
          <cell r="D7">
            <v>0.28686</v>
          </cell>
          <cell r="E7">
            <v>0.57138999999999995</v>
          </cell>
          <cell r="F7">
            <v>0.36496000000000001</v>
          </cell>
          <cell r="G7">
            <v>0.30579000000000001</v>
          </cell>
          <cell r="H7">
            <v>0.67074999999999996</v>
          </cell>
          <cell r="I7">
            <v>0.29671636363636361</v>
          </cell>
          <cell r="J7">
            <v>0.28972818181818183</v>
          </cell>
          <cell r="N7">
            <v>0.14199999999999999</v>
          </cell>
        </row>
        <row r="8">
          <cell r="C8">
            <v>0.54694000000000009</v>
          </cell>
          <cell r="D8">
            <v>0.28686</v>
          </cell>
          <cell r="E8">
            <v>0.8338000000000001</v>
          </cell>
          <cell r="F8">
            <v>0.65128999999999992</v>
          </cell>
          <cell r="G8">
            <v>0.30579000000000001</v>
          </cell>
          <cell r="H8">
            <v>0.95707999999999993</v>
          </cell>
          <cell r="I8">
            <v>0.56275060606060612</v>
          </cell>
          <cell r="J8">
            <v>0.28972818181818183</v>
          </cell>
        </row>
        <row r="9">
          <cell r="C9">
            <v>1.7567285996534902E-4</v>
          </cell>
          <cell r="D9">
            <v>3.42973552660492E-3</v>
          </cell>
        </row>
        <row r="13">
          <cell r="K13" t="str">
            <v>BVM1</v>
          </cell>
          <cell r="L13" t="str">
            <v>BVM2</v>
          </cell>
        </row>
        <row r="15">
          <cell r="B15">
            <v>45847</v>
          </cell>
          <cell r="E15">
            <v>45880</v>
          </cell>
        </row>
        <row r="76">
          <cell r="B76">
            <v>2024</v>
          </cell>
        </row>
        <row r="79">
          <cell r="D79">
            <v>0.45246416638672077</v>
          </cell>
          <cell r="E79">
            <v>7.39594111182032E-2</v>
          </cell>
          <cell r="F79">
            <v>0.27500913257019954</v>
          </cell>
          <cell r="G79">
            <v>0.19856728992487654</v>
          </cell>
        </row>
        <row r="80">
          <cell r="D80">
            <v>0.53149575868436638</v>
          </cell>
          <cell r="E80">
            <v>8.6877848555460851E-2</v>
          </cell>
          <cell r="F80">
            <v>0.32304478104372042</v>
          </cell>
          <cell r="G80">
            <v>5.8581611716452382E-2</v>
          </cell>
        </row>
        <row r="81">
          <cell r="D81">
            <v>0.45246416638672077</v>
          </cell>
          <cell r="E81">
            <v>7.39594111182032E-2</v>
          </cell>
          <cell r="F81">
            <v>0.27500913257019954</v>
          </cell>
          <cell r="G81">
            <v>0.19856728992487654</v>
          </cell>
        </row>
        <row r="82">
          <cell r="D82">
            <v>0.45246416638672077</v>
          </cell>
          <cell r="E82">
            <v>7.39594111182032E-2</v>
          </cell>
          <cell r="F82">
            <v>0.27500913257019954</v>
          </cell>
          <cell r="G82">
            <v>0.19856728992487654</v>
          </cell>
        </row>
        <row r="83">
          <cell r="D83">
            <v>0.45246416638672077</v>
          </cell>
          <cell r="E83">
            <v>7.39594111182032E-2</v>
          </cell>
          <cell r="F83">
            <v>0.27500913257019954</v>
          </cell>
          <cell r="G83">
            <v>0.19856728992487654</v>
          </cell>
        </row>
        <row r="84">
          <cell r="D84">
            <v>0.45246416638672077</v>
          </cell>
          <cell r="E84">
            <v>7.39594111182032E-2</v>
          </cell>
          <cell r="F84">
            <v>0.27500913257019954</v>
          </cell>
          <cell r="G84">
            <v>0.19856728992487654</v>
          </cell>
        </row>
        <row r="85">
          <cell r="D85">
            <v>0.45246416638672071</v>
          </cell>
          <cell r="E85">
            <v>7.3959411118203186E-2</v>
          </cell>
          <cell r="F85">
            <v>0.27500913257019949</v>
          </cell>
          <cell r="G85">
            <v>0.19856728992487654</v>
          </cell>
        </row>
        <row r="86">
          <cell r="D86">
            <v>0.45246416638672071</v>
          </cell>
          <cell r="E86">
            <v>7.3959411118203186E-2</v>
          </cell>
          <cell r="F86">
            <v>0.27500913257019949</v>
          </cell>
          <cell r="G86">
            <v>0.19856728992487654</v>
          </cell>
        </row>
        <row r="87">
          <cell r="D87">
            <v>0.45246416638672071</v>
          </cell>
          <cell r="E87">
            <v>7.39594111182032E-2</v>
          </cell>
          <cell r="F87">
            <v>0.27500913257019954</v>
          </cell>
          <cell r="G87">
            <v>0.19856728992487657</v>
          </cell>
        </row>
        <row r="90">
          <cell r="B90">
            <v>2023</v>
          </cell>
        </row>
        <row r="93">
          <cell r="D93">
            <v>0.43939696077133034</v>
          </cell>
          <cell r="E93">
            <v>9.2697585625348772E-2</v>
          </cell>
          <cell r="F93">
            <v>0.25285207888477268</v>
          </cell>
          <cell r="G93">
            <v>0.21506308252114117</v>
          </cell>
        </row>
        <row r="94">
          <cell r="D94">
            <v>0.52691619996872485</v>
          </cell>
          <cell r="E94">
            <v>0.11116112291319068</v>
          </cell>
          <cell r="F94">
            <v>0.30321524374287334</v>
          </cell>
          <cell r="G94">
            <v>5.8707433375211129E-2</v>
          </cell>
        </row>
        <row r="95">
          <cell r="D95">
            <v>0.43939300245552615</v>
          </cell>
          <cell r="E95">
            <v>9.2696750557401245E-2</v>
          </cell>
          <cell r="F95">
            <v>0.25284980106205335</v>
          </cell>
          <cell r="G95">
            <v>0.21506044592501908</v>
          </cell>
        </row>
        <row r="96">
          <cell r="D96">
            <v>0.43939300245552615</v>
          </cell>
          <cell r="E96">
            <v>9.2696750557401245E-2</v>
          </cell>
          <cell r="F96">
            <v>0.25284980106205335</v>
          </cell>
          <cell r="G96">
            <v>0.21506044592501908</v>
          </cell>
        </row>
        <row r="97">
          <cell r="D97">
            <v>0.43939300245552615</v>
          </cell>
          <cell r="E97">
            <v>9.2696750557401328E-2</v>
          </cell>
          <cell r="F97">
            <v>0.25284980106205335</v>
          </cell>
          <cell r="G97">
            <v>0.21506044592501908</v>
          </cell>
        </row>
        <row r="98">
          <cell r="D98">
            <v>0.43939300245552615</v>
          </cell>
          <cell r="E98">
            <v>9.2696750557401328E-2</v>
          </cell>
          <cell r="F98">
            <v>0.25284980106205335</v>
          </cell>
          <cell r="G98">
            <v>0.21506044592501908</v>
          </cell>
        </row>
        <row r="99">
          <cell r="D99">
            <v>0</v>
          </cell>
          <cell r="E99">
            <v>0</v>
          </cell>
          <cell r="F99">
            <v>0</v>
          </cell>
          <cell r="G99">
            <v>0</v>
          </cell>
        </row>
        <row r="100">
          <cell r="D100">
            <v>0.43938945729126549</v>
          </cell>
          <cell r="E100">
            <v>9.2697336752737058E-2</v>
          </cell>
          <cell r="F100">
            <v>0.25285140003260154</v>
          </cell>
          <cell r="G100">
            <v>0.21506180592339591</v>
          </cell>
        </row>
        <row r="101">
          <cell r="D101">
            <v>0.43938945729126527</v>
          </cell>
          <cell r="E101">
            <v>9.2697336752736934E-2</v>
          </cell>
          <cell r="F101">
            <v>0.25285140003260193</v>
          </cell>
          <cell r="G101">
            <v>0.21506180592339585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7">
          <cell r="H7">
            <v>536.46786636203467</v>
          </cell>
        </row>
        <row r="14">
          <cell r="H14">
            <v>574.11477069371142</v>
          </cell>
          <cell r="K14">
            <v>693.02445456809062</v>
          </cell>
        </row>
        <row r="15">
          <cell r="H15">
            <v>344.46882078707813</v>
          </cell>
          <cell r="K15">
            <v>415.81471295327373</v>
          </cell>
        </row>
        <row r="16">
          <cell r="H16">
            <v>114.82297495331665</v>
          </cell>
          <cell r="K16">
            <v>138.60487080740845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OB"/>
      <sheetName val="Tarifa2024"/>
      <sheetName val="ESCASSEZ"/>
      <sheetName val="ESCASSEZ TB"/>
      <sheetName val="ESCASSEZ BR"/>
      <sheetName val="PROP REDUTOR GD3"/>
      <sheetName val="REDUTOR GD2"/>
      <sheetName val="RED 2023"/>
      <sheetName val="RED 2024"/>
      <sheetName val="2024"/>
      <sheetName val="Tarifa 2023"/>
    </sheetNames>
    <sheetDataSet>
      <sheetData sheetId="0">
        <row r="6">
          <cell r="E6">
            <v>0</v>
          </cell>
          <cell r="F6">
            <v>42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printerSettings" Target="../printerSettings/printerSettings14.bin"/><Relationship Id="rId5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6" Type="http://schemas.openxmlformats.org/officeDocument/2006/relationships/printerSettings" Target="../printerSettings/printerSettings23.bin"/><Relationship Id="rId5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2:K17"/>
  <sheetViews>
    <sheetView topLeftCell="B1" zoomScale="90" zoomScaleNormal="90" workbookViewId="0">
      <selection activeCell="N22" sqref="N22"/>
    </sheetView>
  </sheetViews>
  <sheetFormatPr defaultRowHeight="14.4" x14ac:dyDescent="0.3"/>
  <cols>
    <col min="3" max="3" width="11.21875" bestFit="1" customWidth="1"/>
    <col min="4" max="4" width="23.21875" customWidth="1"/>
    <col min="5" max="5" width="28.5546875" customWidth="1"/>
    <col min="7" max="7" width="21" bestFit="1" customWidth="1"/>
  </cols>
  <sheetData>
    <row r="2" spans="3:11" x14ac:dyDescent="0.3">
      <c r="C2" s="429" t="s">
        <v>0</v>
      </c>
      <c r="D2" s="429" t="s">
        <v>1</v>
      </c>
      <c r="E2" s="429" t="s">
        <v>2</v>
      </c>
      <c r="F2" s="429" t="s">
        <v>3</v>
      </c>
      <c r="G2" s="429" t="s">
        <v>4</v>
      </c>
      <c r="H2" s="429"/>
      <c r="I2" s="341"/>
      <c r="J2" s="610" t="s">
        <v>5</v>
      </c>
      <c r="K2" s="610"/>
    </row>
    <row r="3" spans="3:11" x14ac:dyDescent="0.3">
      <c r="C3" s="194"/>
      <c r="D3" s="194"/>
      <c r="E3" s="194"/>
      <c r="F3" s="194"/>
      <c r="G3" s="194"/>
      <c r="H3" s="194" t="s">
        <v>6</v>
      </c>
      <c r="I3" s="194" t="s">
        <v>7</v>
      </c>
      <c r="J3" s="195" t="s">
        <v>6</v>
      </c>
      <c r="K3" s="195" t="s">
        <v>7</v>
      </c>
    </row>
    <row r="4" spans="3:11" x14ac:dyDescent="0.3">
      <c r="C4" s="315"/>
      <c r="D4" s="315"/>
      <c r="E4" s="315"/>
      <c r="F4" s="315"/>
      <c r="G4" s="315" t="s">
        <v>8</v>
      </c>
      <c r="H4" s="315" t="s">
        <v>9</v>
      </c>
      <c r="I4" s="315" t="s">
        <v>9</v>
      </c>
      <c r="J4" s="430" t="s">
        <v>10</v>
      </c>
      <c r="K4" s="430" t="s">
        <v>10</v>
      </c>
    </row>
    <row r="5" spans="3:11" x14ac:dyDescent="0.3">
      <c r="C5" s="315" t="s">
        <v>11</v>
      </c>
      <c r="D5" s="315" t="s">
        <v>12</v>
      </c>
      <c r="E5" s="315" t="s">
        <v>13</v>
      </c>
      <c r="F5" s="315" t="s">
        <v>14</v>
      </c>
      <c r="G5" s="315">
        <v>0</v>
      </c>
      <c r="H5" s="315">
        <v>806.96</v>
      </c>
      <c r="I5" s="315">
        <v>473.64</v>
      </c>
      <c r="J5" s="429">
        <v>0.80696000000000001</v>
      </c>
      <c r="K5" s="429">
        <v>0.43036000000000002</v>
      </c>
    </row>
    <row r="6" spans="3:11" x14ac:dyDescent="0.3">
      <c r="C6" s="315"/>
      <c r="D6" s="315" t="s">
        <v>12</v>
      </c>
      <c r="E6" s="315" t="s">
        <v>13</v>
      </c>
      <c r="F6" s="315" t="s">
        <v>15</v>
      </c>
      <c r="G6" s="315">
        <v>0</v>
      </c>
      <c r="H6" s="315">
        <v>540.45000000000005</v>
      </c>
      <c r="I6" s="315">
        <v>297.11</v>
      </c>
      <c r="J6" s="429">
        <v>0.5404500000000001</v>
      </c>
      <c r="K6" s="429">
        <v>0.26735000000000003</v>
      </c>
    </row>
    <row r="7" spans="3:11" x14ac:dyDescent="0.3">
      <c r="C7" s="315"/>
      <c r="D7" s="315" t="s">
        <v>12</v>
      </c>
      <c r="E7" s="315" t="s">
        <v>13</v>
      </c>
      <c r="F7" s="315" t="s">
        <v>16</v>
      </c>
      <c r="G7" s="315">
        <v>0</v>
      </c>
      <c r="H7" s="315">
        <v>273.95</v>
      </c>
      <c r="I7" s="315">
        <v>297.11</v>
      </c>
      <c r="J7" s="429">
        <v>0.27394999999999997</v>
      </c>
      <c r="K7" s="429">
        <v>0.26735000000000003</v>
      </c>
    </row>
    <row r="8" spans="3:11" x14ac:dyDescent="0.3">
      <c r="C8" s="315"/>
      <c r="D8" s="315" t="s">
        <v>17</v>
      </c>
      <c r="E8" s="315" t="s">
        <v>18</v>
      </c>
      <c r="F8" s="315" t="s">
        <v>19</v>
      </c>
      <c r="G8" s="315">
        <v>0</v>
      </c>
      <c r="H8" s="315">
        <v>396.95</v>
      </c>
      <c r="I8" s="315">
        <v>311.82</v>
      </c>
      <c r="J8" s="429">
        <v>0.39694999999999997</v>
      </c>
      <c r="K8" s="429">
        <v>0.28093000000000001</v>
      </c>
    </row>
    <row r="9" spans="3:11" x14ac:dyDescent="0.3">
      <c r="C9" s="315"/>
      <c r="D9" s="315" t="s">
        <v>17</v>
      </c>
      <c r="E9" s="315" t="s">
        <v>20</v>
      </c>
      <c r="F9" s="315" t="s">
        <v>19</v>
      </c>
      <c r="G9" s="315">
        <v>0</v>
      </c>
      <c r="H9" s="315">
        <v>294.41000000000003</v>
      </c>
      <c r="I9" s="315">
        <v>303.74</v>
      </c>
      <c r="J9" s="431">
        <v>0.29441000000000001</v>
      </c>
      <c r="K9" s="431">
        <v>0.27302999999999999</v>
      </c>
    </row>
    <row r="10" spans="3:11" x14ac:dyDescent="0.3">
      <c r="C10" s="315" t="s">
        <v>21</v>
      </c>
      <c r="D10" s="315" t="s">
        <v>22</v>
      </c>
      <c r="E10" s="315" t="s">
        <v>23</v>
      </c>
      <c r="F10" s="315" t="s">
        <v>14</v>
      </c>
      <c r="G10" s="315">
        <v>0</v>
      </c>
      <c r="H10" s="315">
        <v>935.09</v>
      </c>
      <c r="I10" s="315">
        <v>473.64</v>
      </c>
      <c r="J10" s="429">
        <v>0.93508999999999998</v>
      </c>
      <c r="K10" s="429">
        <v>0.43036000000000002</v>
      </c>
    </row>
    <row r="11" spans="3:11" x14ac:dyDescent="0.3">
      <c r="C11" s="315"/>
      <c r="D11" s="315" t="s">
        <v>17</v>
      </c>
      <c r="E11" s="315" t="s">
        <v>23</v>
      </c>
      <c r="F11" s="315" t="s">
        <v>19</v>
      </c>
      <c r="G11" s="315">
        <v>0</v>
      </c>
      <c r="H11" s="315">
        <v>396.95</v>
      </c>
      <c r="I11" s="315">
        <v>311.82</v>
      </c>
      <c r="J11" s="429">
        <v>0.39694999999999997</v>
      </c>
      <c r="K11" s="429">
        <v>0.28093000000000001</v>
      </c>
    </row>
    <row r="12" spans="3:11" x14ac:dyDescent="0.3">
      <c r="C12" s="315" t="s">
        <v>24</v>
      </c>
      <c r="D12" s="315" t="s">
        <v>12</v>
      </c>
      <c r="E12" s="315" t="s">
        <v>25</v>
      </c>
      <c r="F12" s="315" t="s">
        <v>14</v>
      </c>
      <c r="G12" s="315">
        <v>0</v>
      </c>
      <c r="H12" s="315">
        <v>986.34</v>
      </c>
      <c r="I12" s="315">
        <v>473.64</v>
      </c>
      <c r="J12" s="429">
        <v>0.98633999999999999</v>
      </c>
      <c r="K12" s="429">
        <v>0.43036000000000002</v>
      </c>
    </row>
    <row r="13" spans="3:11" x14ac:dyDescent="0.3">
      <c r="C13" s="315"/>
      <c r="D13" s="315" t="s">
        <v>12</v>
      </c>
      <c r="E13" s="315" t="s">
        <v>25</v>
      </c>
      <c r="F13" s="315" t="s">
        <v>15</v>
      </c>
      <c r="G13" s="315">
        <v>0</v>
      </c>
      <c r="H13" s="315">
        <v>648.08000000000004</v>
      </c>
      <c r="I13" s="315">
        <v>297.11</v>
      </c>
      <c r="J13" s="429">
        <v>0.64807999999999999</v>
      </c>
      <c r="K13" s="429">
        <v>0.26735000000000003</v>
      </c>
    </row>
    <row r="14" spans="3:11" x14ac:dyDescent="0.3">
      <c r="C14" s="315"/>
      <c r="D14" s="315" t="s">
        <v>12</v>
      </c>
      <c r="E14" s="315" t="s">
        <v>25</v>
      </c>
      <c r="F14" s="315" t="s">
        <v>16</v>
      </c>
      <c r="G14" s="315">
        <v>0</v>
      </c>
      <c r="H14" s="315">
        <v>309.82</v>
      </c>
      <c r="I14" s="315">
        <v>297.11</v>
      </c>
      <c r="J14" s="429">
        <v>0.30981999999999998</v>
      </c>
      <c r="K14" s="429">
        <v>0.26735000000000003</v>
      </c>
    </row>
    <row r="15" spans="3:11" x14ac:dyDescent="0.3">
      <c r="C15" s="315"/>
      <c r="D15" s="315" t="s">
        <v>17</v>
      </c>
      <c r="E15" s="315" t="s">
        <v>24</v>
      </c>
      <c r="F15" s="315" t="s">
        <v>19</v>
      </c>
      <c r="G15" s="315">
        <v>0</v>
      </c>
      <c r="H15" s="315">
        <v>396.95</v>
      </c>
      <c r="I15" s="315">
        <v>311.82</v>
      </c>
      <c r="J15" s="429">
        <v>0.39694999999999997</v>
      </c>
      <c r="K15" s="429">
        <v>0.28093000000000001</v>
      </c>
    </row>
    <row r="16" spans="3:11" x14ac:dyDescent="0.3">
      <c r="C16" s="315" t="s">
        <v>26</v>
      </c>
      <c r="D16" s="315" t="s">
        <v>17</v>
      </c>
      <c r="E16" s="315" t="s">
        <v>27</v>
      </c>
      <c r="F16" s="315" t="s">
        <v>19</v>
      </c>
      <c r="G16" s="315">
        <v>0</v>
      </c>
      <c r="H16" s="315">
        <v>218.32</v>
      </c>
      <c r="I16" s="315">
        <v>171.5</v>
      </c>
      <c r="J16" s="429">
        <v>0.21831999999999999</v>
      </c>
      <c r="K16" s="429">
        <v>0.15450999999999998</v>
      </c>
    </row>
    <row r="17" spans="3:11" x14ac:dyDescent="0.3">
      <c r="C17" s="315"/>
      <c r="D17" s="315" t="s">
        <v>17</v>
      </c>
      <c r="E17" s="315" t="s">
        <v>28</v>
      </c>
      <c r="F17" s="315" t="s">
        <v>19</v>
      </c>
      <c r="G17" s="315">
        <v>0</v>
      </c>
      <c r="H17" s="315">
        <v>238.17</v>
      </c>
      <c r="I17" s="315">
        <v>187.09</v>
      </c>
      <c r="J17" s="429">
        <v>0.23816999999999999</v>
      </c>
      <c r="K17" s="429">
        <v>0.16856000000000002</v>
      </c>
    </row>
  </sheetData>
  <mergeCells count="1">
    <mergeCell ref="J2:K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B178"/>
  <sheetViews>
    <sheetView topLeftCell="A77" workbookViewId="0">
      <selection activeCell="N85" sqref="N85:O85"/>
    </sheetView>
  </sheetViews>
  <sheetFormatPr defaultColWidth="15" defaultRowHeight="14.4" x14ac:dyDescent="0.3"/>
  <cols>
    <col min="1" max="1" width="57.77734375" style="8" customWidth="1"/>
    <col min="2" max="2" width="8.44140625" style="8" customWidth="1"/>
    <col min="3" max="3" width="10" style="8" customWidth="1"/>
    <col min="4" max="4" width="11" style="8" customWidth="1"/>
    <col min="5" max="5" width="10.77734375" style="8" bestFit="1" customWidth="1"/>
    <col min="6" max="6" width="7" style="8" customWidth="1"/>
    <col min="7" max="7" width="8.5546875" style="8" customWidth="1"/>
    <col min="8" max="8" width="8.44140625" style="8" customWidth="1"/>
    <col min="9" max="9" width="9.5546875" style="8" hidden="1" customWidth="1"/>
    <col min="10" max="11" width="7" style="8" hidden="1" customWidth="1"/>
    <col min="12" max="12" width="12" style="8" hidden="1" customWidth="1"/>
    <col min="13" max="13" width="4.5546875" hidden="1" customWidth="1"/>
    <col min="14" max="14" width="10.44140625" style="8" bestFit="1" customWidth="1"/>
    <col min="15" max="15" width="8.21875" style="8" customWidth="1"/>
    <col min="16" max="16" width="4.5546875" bestFit="1" customWidth="1"/>
    <col min="17" max="17" width="5" bestFit="1" customWidth="1"/>
    <col min="18" max="18" width="12.5546875" bestFit="1" customWidth="1"/>
    <col min="19" max="19" width="21.44140625" bestFit="1" customWidth="1"/>
  </cols>
  <sheetData>
    <row r="1" spans="1:28" ht="15" hidden="1" thickBot="1" x14ac:dyDescent="0.35">
      <c r="A1" s="667" t="s">
        <v>29</v>
      </c>
      <c r="B1" s="668"/>
      <c r="C1" s="668"/>
      <c r="D1" s="668"/>
      <c r="E1" s="668"/>
      <c r="F1" s="668"/>
      <c r="G1" s="668"/>
      <c r="H1" s="668"/>
      <c r="I1" s="668"/>
      <c r="J1" s="668"/>
      <c r="K1" s="668"/>
      <c r="L1" s="669"/>
    </row>
    <row r="2" spans="1:28" ht="15" hidden="1" thickBot="1" x14ac:dyDescent="0.35">
      <c r="A2" s="746" t="s">
        <v>0</v>
      </c>
      <c r="B2" s="746" t="s">
        <v>1</v>
      </c>
      <c r="C2" s="746" t="s">
        <v>30</v>
      </c>
      <c r="D2" s="346" t="s">
        <v>3</v>
      </c>
      <c r="E2" s="749" t="s">
        <v>4</v>
      </c>
      <c r="F2" s="750"/>
      <c r="G2" s="750"/>
      <c r="H2" s="750"/>
      <c r="I2" s="751"/>
      <c r="J2" s="749" t="s">
        <v>31</v>
      </c>
      <c r="K2" s="750"/>
      <c r="L2" s="751"/>
      <c r="N2" s="324" t="s">
        <v>32</v>
      </c>
      <c r="O2" s="324" t="s">
        <v>33</v>
      </c>
      <c r="P2" s="324" t="s">
        <v>34</v>
      </c>
      <c r="Q2" s="324" t="s">
        <v>35</v>
      </c>
      <c r="T2">
        <v>0</v>
      </c>
    </row>
    <row r="3" spans="1:28" ht="15" hidden="1" thickBot="1" x14ac:dyDescent="0.35">
      <c r="A3" s="747"/>
      <c r="B3" s="747"/>
      <c r="C3" s="747"/>
      <c r="D3" s="347"/>
      <c r="E3" s="749" t="s">
        <v>6</v>
      </c>
      <c r="F3" s="751"/>
      <c r="G3" s="749" t="s">
        <v>36</v>
      </c>
      <c r="H3" s="750"/>
      <c r="I3" s="751"/>
      <c r="J3" s="749" t="s">
        <v>6</v>
      </c>
      <c r="K3" s="751"/>
      <c r="L3" s="347" t="s">
        <v>7</v>
      </c>
      <c r="N3" s="326" t="s">
        <v>37</v>
      </c>
      <c r="O3" s="327" t="s">
        <v>38</v>
      </c>
      <c r="P3" s="327" t="s">
        <v>39</v>
      </c>
      <c r="Q3" s="348">
        <v>2025</v>
      </c>
      <c r="S3" s="349" t="s">
        <v>40</v>
      </c>
      <c r="T3" s="350">
        <v>18.850000000000001</v>
      </c>
    </row>
    <row r="4" spans="1:28" ht="21" hidden="1" thickBot="1" x14ac:dyDescent="0.35">
      <c r="A4" s="748"/>
      <c r="B4" s="748"/>
      <c r="C4" s="748"/>
      <c r="D4" s="347"/>
      <c r="E4" s="347" t="s">
        <v>8</v>
      </c>
      <c r="F4" s="347" t="s">
        <v>9</v>
      </c>
      <c r="G4" s="351" t="s">
        <v>41</v>
      </c>
      <c r="H4" s="352" t="s">
        <v>40</v>
      </c>
      <c r="I4" s="353" t="s">
        <v>42</v>
      </c>
      <c r="J4" s="347" t="s">
        <v>8</v>
      </c>
      <c r="K4" s="347" t="s">
        <v>9</v>
      </c>
      <c r="L4" s="347" t="s">
        <v>9</v>
      </c>
      <c r="N4" s="326" t="s">
        <v>43</v>
      </c>
      <c r="O4" s="327" t="s">
        <v>44</v>
      </c>
      <c r="P4" s="327" t="s">
        <v>45</v>
      </c>
      <c r="Q4" s="348">
        <v>9999</v>
      </c>
      <c r="S4" s="354" t="s">
        <v>46</v>
      </c>
      <c r="T4" s="355">
        <v>44.63</v>
      </c>
    </row>
    <row r="5" spans="1:28" ht="15" hidden="1" thickBot="1" x14ac:dyDescent="0.35">
      <c r="A5" s="743" t="s">
        <v>47</v>
      </c>
      <c r="B5" s="735" t="s">
        <v>48</v>
      </c>
      <c r="C5" s="735" t="s">
        <v>19</v>
      </c>
      <c r="D5" s="356" t="s">
        <v>14</v>
      </c>
      <c r="E5" s="357"/>
      <c r="F5" s="357"/>
      <c r="G5" s="357"/>
      <c r="H5" s="355">
        <f t="shared" ref="H5:H63" si="0">IF(G5=$T$2,0,(G5+$T$3))</f>
        <v>0</v>
      </c>
      <c r="I5" s="355">
        <f t="shared" ref="I5:I63" si="1">IF(G5=$T$2,0,(G5+$T$4))</f>
        <v>0</v>
      </c>
      <c r="J5" s="357"/>
      <c r="K5" s="357"/>
      <c r="L5" s="357"/>
      <c r="M5" s="358"/>
      <c r="N5" s="359"/>
      <c r="O5" s="359"/>
      <c r="S5" s="354" t="s">
        <v>49</v>
      </c>
      <c r="T5" s="355">
        <v>78.77</v>
      </c>
      <c r="AA5" s="3"/>
      <c r="AB5" s="3"/>
    </row>
    <row r="6" spans="1:28" ht="15" hidden="1" thickBot="1" x14ac:dyDescent="0.35">
      <c r="A6" s="744"/>
      <c r="B6" s="737"/>
      <c r="C6" s="737"/>
      <c r="D6" s="356" t="s">
        <v>16</v>
      </c>
      <c r="E6" s="357"/>
      <c r="F6" s="357"/>
      <c r="G6" s="357"/>
      <c r="H6" s="355">
        <f t="shared" si="0"/>
        <v>0</v>
      </c>
      <c r="I6" s="355">
        <f t="shared" si="1"/>
        <v>0</v>
      </c>
      <c r="J6" s="357"/>
      <c r="K6" s="357"/>
      <c r="L6" s="357"/>
      <c r="M6" s="358"/>
      <c r="N6" s="359"/>
      <c r="O6" s="359"/>
      <c r="S6" s="360" t="s">
        <v>49</v>
      </c>
      <c r="T6" s="355">
        <v>0</v>
      </c>
    </row>
    <row r="7" spans="1:28" ht="15" hidden="1" thickBot="1" x14ac:dyDescent="0.35">
      <c r="A7" s="744"/>
      <c r="B7" s="735" t="s">
        <v>50</v>
      </c>
      <c r="C7" s="735" t="s">
        <v>19</v>
      </c>
      <c r="D7" s="356" t="s">
        <v>14</v>
      </c>
      <c r="E7" s="357"/>
      <c r="F7" s="357"/>
      <c r="G7" s="357"/>
      <c r="H7" s="355">
        <f t="shared" si="0"/>
        <v>0</v>
      </c>
      <c r="I7" s="355">
        <f t="shared" si="1"/>
        <v>0</v>
      </c>
      <c r="J7" s="357"/>
      <c r="K7" s="357"/>
      <c r="L7" s="357"/>
      <c r="M7" s="361"/>
      <c r="N7" s="359"/>
      <c r="O7" s="359"/>
    </row>
    <row r="8" spans="1:28" ht="15" hidden="1" thickBot="1" x14ac:dyDescent="0.35">
      <c r="A8" s="745"/>
      <c r="B8" s="737"/>
      <c r="C8" s="737"/>
      <c r="D8" s="356" t="s">
        <v>16</v>
      </c>
      <c r="E8" s="357"/>
      <c r="F8" s="357"/>
      <c r="G8" s="357"/>
      <c r="H8" s="355">
        <f t="shared" si="0"/>
        <v>0</v>
      </c>
      <c r="I8" s="355">
        <f t="shared" si="1"/>
        <v>0</v>
      </c>
      <c r="J8" s="357"/>
      <c r="K8" s="357"/>
      <c r="L8" s="357"/>
      <c r="M8" s="3"/>
      <c r="N8" s="330" t="s">
        <v>51</v>
      </c>
      <c r="O8" s="330" t="s">
        <v>52</v>
      </c>
      <c r="P8" s="330" t="s">
        <v>35</v>
      </c>
      <c r="R8" s="330" t="s">
        <v>51</v>
      </c>
      <c r="S8" s="330" t="s">
        <v>53</v>
      </c>
    </row>
    <row r="9" spans="1:28" ht="15" hidden="1" thickBot="1" x14ac:dyDescent="0.35">
      <c r="A9" s="719" t="s">
        <v>54</v>
      </c>
      <c r="B9" s="735" t="s">
        <v>48</v>
      </c>
      <c r="C9" s="735" t="s">
        <v>19</v>
      </c>
      <c r="D9" s="356" t="s">
        <v>14</v>
      </c>
      <c r="E9" s="357">
        <v>19.579999999999998</v>
      </c>
      <c r="F9" s="357">
        <v>88.52</v>
      </c>
      <c r="G9" s="357">
        <v>481.95</v>
      </c>
      <c r="H9" s="355">
        <f t="shared" si="0"/>
        <v>500.8</v>
      </c>
      <c r="I9" s="355">
        <f t="shared" si="1"/>
        <v>526.58000000000004</v>
      </c>
      <c r="J9" s="357">
        <v>18.98</v>
      </c>
      <c r="K9" s="357">
        <v>76.88</v>
      </c>
      <c r="L9" s="357">
        <v>475.43</v>
      </c>
      <c r="M9" s="358"/>
      <c r="N9" s="331" t="s">
        <v>55</v>
      </c>
      <c r="O9" s="362">
        <v>3541</v>
      </c>
      <c r="P9" s="332">
        <v>2025</v>
      </c>
      <c r="R9" s="333" t="s">
        <v>55</v>
      </c>
      <c r="S9" s="334" t="s">
        <v>56</v>
      </c>
    </row>
    <row r="10" spans="1:28" ht="15" hidden="1" thickBot="1" x14ac:dyDescent="0.35">
      <c r="A10" s="720"/>
      <c r="B10" s="737"/>
      <c r="C10" s="737"/>
      <c r="D10" s="356" t="s">
        <v>16</v>
      </c>
      <c r="E10" s="357">
        <v>9.7899999999999991</v>
      </c>
      <c r="F10" s="357">
        <v>88.52</v>
      </c>
      <c r="G10" s="357">
        <v>302.14999999999998</v>
      </c>
      <c r="H10" s="355">
        <f t="shared" si="0"/>
        <v>321</v>
      </c>
      <c r="I10" s="355">
        <f t="shared" si="1"/>
        <v>346.78</v>
      </c>
      <c r="J10" s="357">
        <v>9.2200000000000006</v>
      </c>
      <c r="K10" s="357">
        <v>76.88</v>
      </c>
      <c r="L10" s="357">
        <v>301.82</v>
      </c>
      <c r="M10" s="358"/>
      <c r="N10" s="359"/>
      <c r="O10" s="359"/>
      <c r="R10" s="333" t="s">
        <v>57</v>
      </c>
      <c r="S10" s="334" t="s">
        <v>58</v>
      </c>
    </row>
    <row r="11" spans="1:28" ht="15" hidden="1" thickBot="1" x14ac:dyDescent="0.35">
      <c r="A11" s="720"/>
      <c r="B11" s="735" t="s">
        <v>50</v>
      </c>
      <c r="C11" s="735" t="s">
        <v>19</v>
      </c>
      <c r="D11" s="356" t="s">
        <v>14</v>
      </c>
      <c r="E11" s="357">
        <v>19.579999999999998</v>
      </c>
      <c r="F11" s="357">
        <v>4.25</v>
      </c>
      <c r="G11" s="357">
        <v>0</v>
      </c>
      <c r="H11" s="355">
        <f t="shared" si="0"/>
        <v>0</v>
      </c>
      <c r="I11" s="355">
        <f t="shared" si="1"/>
        <v>0</v>
      </c>
      <c r="J11" s="357">
        <v>18.98</v>
      </c>
      <c r="K11" s="357">
        <v>4.12</v>
      </c>
      <c r="L11" s="357">
        <v>0</v>
      </c>
      <c r="M11" s="358"/>
      <c r="N11" s="359"/>
      <c r="O11" s="359"/>
      <c r="R11" s="333" t="s">
        <v>59</v>
      </c>
      <c r="S11" s="334" t="s">
        <v>60</v>
      </c>
    </row>
    <row r="12" spans="1:28" ht="15" hidden="1" thickBot="1" x14ac:dyDescent="0.35">
      <c r="A12" s="720"/>
      <c r="B12" s="737"/>
      <c r="C12" s="737"/>
      <c r="D12" s="356" t="s">
        <v>16</v>
      </c>
      <c r="E12" s="357">
        <v>9.7899999999999991</v>
      </c>
      <c r="F12" s="357">
        <v>4.25</v>
      </c>
      <c r="G12" s="357">
        <v>0</v>
      </c>
      <c r="H12" s="355">
        <f t="shared" si="0"/>
        <v>0</v>
      </c>
      <c r="I12" s="355">
        <f t="shared" si="1"/>
        <v>0</v>
      </c>
      <c r="J12" s="357">
        <v>9.2200000000000006</v>
      </c>
      <c r="K12" s="357">
        <v>4.12</v>
      </c>
      <c r="L12" s="357">
        <v>0</v>
      </c>
      <c r="M12" s="3"/>
    </row>
    <row r="13" spans="1:28" ht="15" hidden="1" thickBot="1" x14ac:dyDescent="0.35">
      <c r="A13" s="720"/>
      <c r="B13" s="735" t="s">
        <v>61</v>
      </c>
      <c r="C13" s="735" t="s">
        <v>62</v>
      </c>
      <c r="D13" s="356" t="s">
        <v>14</v>
      </c>
      <c r="E13" s="357">
        <v>19.579999999999998</v>
      </c>
      <c r="F13" s="357">
        <v>0</v>
      </c>
      <c r="G13" s="357"/>
      <c r="H13" s="355">
        <f t="shared" si="0"/>
        <v>0</v>
      </c>
      <c r="I13" s="355">
        <f t="shared" si="1"/>
        <v>0</v>
      </c>
      <c r="J13" s="357">
        <v>18.98</v>
      </c>
      <c r="K13" s="357">
        <v>0</v>
      </c>
      <c r="L13" s="357"/>
    </row>
    <row r="14" spans="1:28" ht="15" hidden="1" thickBot="1" x14ac:dyDescent="0.35">
      <c r="A14" s="720"/>
      <c r="B14" s="736"/>
      <c r="C14" s="736"/>
      <c r="D14" s="356" t="s">
        <v>16</v>
      </c>
      <c r="E14" s="357">
        <v>9.7899999999999991</v>
      </c>
      <c r="F14" s="357">
        <v>0</v>
      </c>
      <c r="G14" s="357"/>
      <c r="H14" s="355">
        <f t="shared" si="0"/>
        <v>0</v>
      </c>
      <c r="I14" s="355">
        <f t="shared" si="1"/>
        <v>0</v>
      </c>
      <c r="J14" s="357">
        <v>9.2200000000000006</v>
      </c>
      <c r="K14" s="357">
        <v>0</v>
      </c>
      <c r="L14" s="357"/>
      <c r="N14" s="741" t="s">
        <v>63</v>
      </c>
      <c r="O14" s="741"/>
      <c r="P14" s="741"/>
      <c r="Q14" s="741"/>
      <c r="R14" s="741"/>
      <c r="S14" s="741"/>
      <c r="T14" s="741"/>
    </row>
    <row r="15" spans="1:28" ht="15" hidden="1" thickBot="1" x14ac:dyDescent="0.35">
      <c r="A15" s="720"/>
      <c r="B15" s="737"/>
      <c r="C15" s="737"/>
      <c r="D15" s="356" t="s">
        <v>19</v>
      </c>
      <c r="E15" s="357"/>
      <c r="F15" s="357">
        <v>0.1</v>
      </c>
      <c r="G15" s="357"/>
      <c r="H15" s="355">
        <f t="shared" si="0"/>
        <v>0</v>
      </c>
      <c r="I15" s="355">
        <f t="shared" si="1"/>
        <v>0</v>
      </c>
      <c r="J15" s="357"/>
      <c r="K15" s="357"/>
      <c r="L15" s="357"/>
      <c r="N15" s="742" t="s">
        <v>64</v>
      </c>
      <c r="O15" s="742"/>
      <c r="P15" s="742"/>
      <c r="Q15" s="742"/>
      <c r="R15" s="742"/>
      <c r="S15" s="742"/>
      <c r="T15" s="742"/>
    </row>
    <row r="16" spans="1:28" ht="21" hidden="1" thickBot="1" x14ac:dyDescent="0.35">
      <c r="A16" s="720"/>
      <c r="B16" s="735" t="s">
        <v>65</v>
      </c>
      <c r="C16" s="356" t="s">
        <v>66</v>
      </c>
      <c r="D16" s="356" t="s">
        <v>19</v>
      </c>
      <c r="E16" s="357">
        <v>4.9400000000000004</v>
      </c>
      <c r="F16" s="357">
        <v>0</v>
      </c>
      <c r="G16" s="357">
        <v>0</v>
      </c>
      <c r="H16" s="355">
        <f t="shared" si="0"/>
        <v>0</v>
      </c>
      <c r="I16" s="355">
        <f t="shared" si="1"/>
        <v>0</v>
      </c>
      <c r="J16" s="357">
        <v>4.78</v>
      </c>
      <c r="K16" s="357">
        <v>0</v>
      </c>
      <c r="L16" s="357">
        <v>0</v>
      </c>
      <c r="N16" s="742" t="s">
        <v>67</v>
      </c>
      <c r="O16" s="742"/>
      <c r="P16" s="742"/>
      <c r="Q16" s="742"/>
      <c r="R16" s="742"/>
      <c r="S16" s="742"/>
      <c r="T16" s="742"/>
    </row>
    <row r="17" spans="1:15" ht="15" hidden="1" thickBot="1" x14ac:dyDescent="0.35">
      <c r="A17" s="720"/>
      <c r="B17" s="736"/>
      <c r="C17" s="356" t="s">
        <v>68</v>
      </c>
      <c r="D17" s="356" t="s">
        <v>19</v>
      </c>
      <c r="E17" s="357">
        <v>2.0299999999999998</v>
      </c>
      <c r="F17" s="357">
        <v>0</v>
      </c>
      <c r="G17" s="357">
        <v>0</v>
      </c>
      <c r="H17" s="355">
        <f t="shared" si="0"/>
        <v>0</v>
      </c>
      <c r="I17" s="355">
        <f t="shared" si="1"/>
        <v>0</v>
      </c>
      <c r="J17" s="357">
        <v>1.97</v>
      </c>
      <c r="K17" s="357">
        <v>0</v>
      </c>
      <c r="L17" s="357">
        <v>0</v>
      </c>
    </row>
    <row r="18" spans="1:15" ht="15" hidden="1" thickBot="1" x14ac:dyDescent="0.35">
      <c r="A18" s="720"/>
      <c r="B18" s="736"/>
      <c r="C18" s="356" t="s">
        <v>69</v>
      </c>
      <c r="D18" s="356" t="s">
        <v>19</v>
      </c>
      <c r="E18" s="357">
        <v>6.55</v>
      </c>
      <c r="F18" s="357">
        <v>0</v>
      </c>
      <c r="G18" s="357">
        <v>0</v>
      </c>
      <c r="H18" s="355">
        <f t="shared" si="0"/>
        <v>0</v>
      </c>
      <c r="I18" s="355">
        <f t="shared" si="1"/>
        <v>0</v>
      </c>
      <c r="J18" s="357">
        <v>6.49</v>
      </c>
      <c r="K18" s="357">
        <v>0</v>
      </c>
      <c r="L18" s="357">
        <v>0</v>
      </c>
      <c r="N18" s="359"/>
      <c r="O18" s="359"/>
    </row>
    <row r="19" spans="1:15" ht="15" hidden="1" thickBot="1" x14ac:dyDescent="0.35">
      <c r="A19" s="720"/>
      <c r="B19" s="736"/>
      <c r="C19" s="356" t="s">
        <v>70</v>
      </c>
      <c r="D19" s="356" t="s">
        <v>19</v>
      </c>
      <c r="E19" s="357">
        <v>6.55</v>
      </c>
      <c r="F19" s="357">
        <v>0</v>
      </c>
      <c r="G19" s="357">
        <v>0</v>
      </c>
      <c r="H19" s="355">
        <f t="shared" si="0"/>
        <v>0</v>
      </c>
      <c r="I19" s="355">
        <f t="shared" si="1"/>
        <v>0</v>
      </c>
      <c r="J19" s="357">
        <v>6.49</v>
      </c>
      <c r="K19" s="357">
        <v>0</v>
      </c>
      <c r="L19" s="357">
        <v>0</v>
      </c>
      <c r="N19" s="359"/>
      <c r="O19" s="359"/>
    </row>
    <row r="20" spans="1:15" ht="92.4" hidden="1" thickBot="1" x14ac:dyDescent="0.35">
      <c r="A20" s="720"/>
      <c r="B20" s="736"/>
      <c r="C20" s="356" t="s">
        <v>71</v>
      </c>
      <c r="D20" s="356" t="s">
        <v>19</v>
      </c>
      <c r="E20" s="357">
        <v>4.99</v>
      </c>
      <c r="F20" s="357">
        <v>0</v>
      </c>
      <c r="G20" s="357">
        <v>0</v>
      </c>
      <c r="H20" s="355">
        <f t="shared" si="0"/>
        <v>0</v>
      </c>
      <c r="I20" s="355">
        <f t="shared" si="1"/>
        <v>0</v>
      </c>
      <c r="J20" s="357">
        <v>4.91</v>
      </c>
      <c r="K20" s="357">
        <v>0</v>
      </c>
      <c r="L20" s="357">
        <v>0</v>
      </c>
      <c r="N20" s="359"/>
      <c r="O20" s="359"/>
    </row>
    <row r="21" spans="1:15" ht="15" hidden="1" thickBot="1" x14ac:dyDescent="0.35">
      <c r="A21" s="720"/>
      <c r="B21" s="736"/>
      <c r="C21" s="356"/>
      <c r="D21" s="356" t="s">
        <v>19</v>
      </c>
      <c r="E21" s="357"/>
      <c r="F21" s="357"/>
      <c r="G21" s="357"/>
      <c r="H21" s="355">
        <f t="shared" si="0"/>
        <v>0</v>
      </c>
      <c r="I21" s="355">
        <f t="shared" si="1"/>
        <v>0</v>
      </c>
      <c r="J21" s="357"/>
      <c r="K21" s="357"/>
      <c r="L21" s="357"/>
      <c r="N21" s="359"/>
      <c r="O21" s="359"/>
    </row>
    <row r="22" spans="1:15" ht="15" hidden="1" thickBot="1" x14ac:dyDescent="0.35">
      <c r="A22" s="720"/>
      <c r="B22" s="736"/>
      <c r="C22" s="356"/>
      <c r="D22" s="356" t="s">
        <v>19</v>
      </c>
      <c r="E22" s="357"/>
      <c r="F22" s="357"/>
      <c r="G22" s="357"/>
      <c r="H22" s="355">
        <f t="shared" si="0"/>
        <v>0</v>
      </c>
      <c r="I22" s="355">
        <f t="shared" si="1"/>
        <v>0</v>
      </c>
      <c r="J22" s="357"/>
      <c r="K22" s="357"/>
      <c r="L22" s="357"/>
      <c r="N22" s="359"/>
      <c r="O22" s="359"/>
    </row>
    <row r="23" spans="1:15" ht="15" hidden="1" thickBot="1" x14ac:dyDescent="0.35">
      <c r="A23" s="720"/>
      <c r="B23" s="736"/>
      <c r="C23" s="356"/>
      <c r="D23" s="356" t="s">
        <v>19</v>
      </c>
      <c r="E23" s="357"/>
      <c r="F23" s="357"/>
      <c r="G23" s="357"/>
      <c r="H23" s="355">
        <f t="shared" si="0"/>
        <v>0</v>
      </c>
      <c r="I23" s="355">
        <f t="shared" si="1"/>
        <v>0</v>
      </c>
      <c r="J23" s="357"/>
      <c r="K23" s="357"/>
      <c r="L23" s="357"/>
      <c r="N23" s="359"/>
      <c r="O23" s="359"/>
    </row>
    <row r="24" spans="1:15" ht="15" hidden="1" thickBot="1" x14ac:dyDescent="0.35">
      <c r="A24" s="720"/>
      <c r="B24" s="736"/>
      <c r="C24" s="356"/>
      <c r="D24" s="356" t="s">
        <v>19</v>
      </c>
      <c r="E24" s="357"/>
      <c r="F24" s="357"/>
      <c r="G24" s="357"/>
      <c r="H24" s="355">
        <f t="shared" si="0"/>
        <v>0</v>
      </c>
      <c r="I24" s="355">
        <f t="shared" si="1"/>
        <v>0</v>
      </c>
      <c r="J24" s="357"/>
      <c r="K24" s="357"/>
      <c r="L24" s="357"/>
      <c r="N24" s="359"/>
      <c r="O24" s="359"/>
    </row>
    <row r="25" spans="1:15" ht="15" hidden="1" thickBot="1" x14ac:dyDescent="0.35">
      <c r="A25" s="721"/>
      <c r="B25" s="737"/>
      <c r="C25" s="356"/>
      <c r="D25" s="356" t="s">
        <v>19</v>
      </c>
      <c r="E25" s="357"/>
      <c r="F25" s="357"/>
      <c r="G25" s="357"/>
      <c r="H25" s="355">
        <f t="shared" si="0"/>
        <v>0</v>
      </c>
      <c r="I25" s="355">
        <f t="shared" si="1"/>
        <v>0</v>
      </c>
      <c r="J25" s="357"/>
      <c r="K25" s="357"/>
      <c r="L25" s="357"/>
      <c r="N25" s="359"/>
      <c r="O25" s="359"/>
    </row>
    <row r="26" spans="1:15" ht="15" hidden="1" thickBot="1" x14ac:dyDescent="0.35">
      <c r="A26" s="719" t="s">
        <v>72</v>
      </c>
      <c r="B26" s="735" t="s">
        <v>48</v>
      </c>
      <c r="C26" s="735" t="s">
        <v>19</v>
      </c>
      <c r="D26" s="356" t="s">
        <v>14</v>
      </c>
      <c r="E26" s="357"/>
      <c r="F26" s="357"/>
      <c r="G26" s="357"/>
      <c r="H26" s="355">
        <f t="shared" si="0"/>
        <v>0</v>
      </c>
      <c r="I26" s="355">
        <f t="shared" si="1"/>
        <v>0</v>
      </c>
      <c r="J26" s="357"/>
      <c r="K26" s="357"/>
      <c r="L26" s="357"/>
      <c r="N26" s="359"/>
      <c r="O26" s="359"/>
    </row>
    <row r="27" spans="1:15" ht="15" hidden="1" thickBot="1" x14ac:dyDescent="0.35">
      <c r="A27" s="720"/>
      <c r="B27" s="737"/>
      <c r="C27" s="737"/>
      <c r="D27" s="356" t="s">
        <v>16</v>
      </c>
      <c r="E27" s="357"/>
      <c r="F27" s="357"/>
      <c r="G27" s="357"/>
      <c r="H27" s="355">
        <f t="shared" si="0"/>
        <v>0</v>
      </c>
      <c r="I27" s="355">
        <f t="shared" si="1"/>
        <v>0</v>
      </c>
      <c r="J27" s="357"/>
      <c r="K27" s="357"/>
      <c r="L27" s="357"/>
      <c r="N27" s="359"/>
      <c r="O27" s="359"/>
    </row>
    <row r="28" spans="1:15" ht="15" hidden="1" thickBot="1" x14ac:dyDescent="0.35">
      <c r="A28" s="720"/>
      <c r="B28" s="735" t="s">
        <v>50</v>
      </c>
      <c r="C28" s="735" t="s">
        <v>19</v>
      </c>
      <c r="D28" s="356" t="s">
        <v>14</v>
      </c>
      <c r="E28" s="357"/>
      <c r="F28" s="357"/>
      <c r="G28" s="357"/>
      <c r="H28" s="355">
        <f t="shared" si="0"/>
        <v>0</v>
      </c>
      <c r="I28" s="355">
        <f t="shared" si="1"/>
        <v>0</v>
      </c>
      <c r="J28" s="357"/>
      <c r="K28" s="357"/>
      <c r="L28" s="357"/>
      <c r="N28" s="359"/>
      <c r="O28" s="359"/>
    </row>
    <row r="29" spans="1:15" ht="15" hidden="1" thickBot="1" x14ac:dyDescent="0.35">
      <c r="A29" s="720"/>
      <c r="B29" s="737"/>
      <c r="C29" s="737"/>
      <c r="D29" s="356" t="s">
        <v>16</v>
      </c>
      <c r="E29" s="357"/>
      <c r="F29" s="357"/>
      <c r="G29" s="357"/>
      <c r="H29" s="355">
        <f t="shared" si="0"/>
        <v>0</v>
      </c>
      <c r="I29" s="355">
        <f t="shared" si="1"/>
        <v>0</v>
      </c>
      <c r="J29" s="357"/>
      <c r="K29" s="357"/>
      <c r="L29" s="357"/>
      <c r="N29" s="359"/>
      <c r="O29" s="359"/>
    </row>
    <row r="30" spans="1:15" ht="15" hidden="1" thickBot="1" x14ac:dyDescent="0.35">
      <c r="A30" s="720"/>
      <c r="B30" s="735" t="s">
        <v>61</v>
      </c>
      <c r="C30" s="735"/>
      <c r="D30" s="356" t="s">
        <v>14</v>
      </c>
      <c r="E30" s="357"/>
      <c r="F30" s="357"/>
      <c r="G30" s="357"/>
      <c r="H30" s="355">
        <f t="shared" si="0"/>
        <v>0</v>
      </c>
      <c r="I30" s="355">
        <f t="shared" si="1"/>
        <v>0</v>
      </c>
      <c r="J30" s="357"/>
      <c r="K30" s="357"/>
      <c r="L30" s="357"/>
      <c r="N30" s="359"/>
      <c r="O30" s="359"/>
    </row>
    <row r="31" spans="1:15" ht="15" hidden="1" thickBot="1" x14ac:dyDescent="0.35">
      <c r="A31" s="720"/>
      <c r="B31" s="736"/>
      <c r="C31" s="736"/>
      <c r="D31" s="356" t="s">
        <v>16</v>
      </c>
      <c r="E31" s="357"/>
      <c r="F31" s="357"/>
      <c r="G31" s="357"/>
      <c r="H31" s="355">
        <f t="shared" si="0"/>
        <v>0</v>
      </c>
      <c r="I31" s="355">
        <f t="shared" si="1"/>
        <v>0</v>
      </c>
      <c r="J31" s="357"/>
      <c r="K31" s="357"/>
      <c r="L31" s="357"/>
      <c r="N31" s="359"/>
      <c r="O31" s="359"/>
    </row>
    <row r="32" spans="1:15" ht="15" hidden="1" thickBot="1" x14ac:dyDescent="0.35">
      <c r="A32" s="720"/>
      <c r="B32" s="737"/>
      <c r="C32" s="737"/>
      <c r="D32" s="356" t="s">
        <v>19</v>
      </c>
      <c r="E32" s="357"/>
      <c r="F32" s="357"/>
      <c r="G32" s="357"/>
      <c r="H32" s="355">
        <f t="shared" si="0"/>
        <v>0</v>
      </c>
      <c r="I32" s="355">
        <f t="shared" si="1"/>
        <v>0</v>
      </c>
      <c r="J32" s="357"/>
      <c r="K32" s="357"/>
      <c r="L32" s="357"/>
      <c r="N32" s="359"/>
      <c r="O32" s="359"/>
    </row>
    <row r="33" spans="1:15" ht="15" hidden="1" thickBot="1" x14ac:dyDescent="0.35">
      <c r="A33" s="721"/>
      <c r="B33" s="356" t="s">
        <v>65</v>
      </c>
      <c r="C33" s="356" t="s">
        <v>19</v>
      </c>
      <c r="D33" s="356" t="s">
        <v>19</v>
      </c>
      <c r="E33" s="357"/>
      <c r="F33" s="357"/>
      <c r="G33" s="357"/>
      <c r="H33" s="355">
        <f t="shared" si="0"/>
        <v>0</v>
      </c>
      <c r="I33" s="355">
        <f t="shared" si="1"/>
        <v>0</v>
      </c>
      <c r="J33" s="357"/>
      <c r="K33" s="357"/>
      <c r="L33" s="357"/>
      <c r="N33" s="359"/>
      <c r="O33" s="359"/>
    </row>
    <row r="34" spans="1:15" ht="15" hidden="1" thickBot="1" x14ac:dyDescent="0.35">
      <c r="A34" s="719" t="s">
        <v>73</v>
      </c>
      <c r="B34" s="735" t="s">
        <v>48</v>
      </c>
      <c r="C34" s="735" t="s">
        <v>19</v>
      </c>
      <c r="D34" s="356" t="s">
        <v>14</v>
      </c>
      <c r="E34" s="357">
        <v>48.65</v>
      </c>
      <c r="F34" s="357">
        <v>142.05000000000001</v>
      </c>
      <c r="G34" s="357">
        <v>489.03</v>
      </c>
      <c r="H34" s="355">
        <f t="shared" si="0"/>
        <v>507.88</v>
      </c>
      <c r="I34" s="355">
        <f t="shared" si="1"/>
        <v>533.66</v>
      </c>
      <c r="J34" s="357">
        <v>48.07</v>
      </c>
      <c r="K34" s="357">
        <v>124.62</v>
      </c>
      <c r="L34" s="357">
        <v>482.36</v>
      </c>
      <c r="M34" s="358"/>
      <c r="N34" s="359"/>
      <c r="O34" s="359"/>
    </row>
    <row r="35" spans="1:15" ht="15" hidden="1" thickBot="1" x14ac:dyDescent="0.35">
      <c r="A35" s="720"/>
      <c r="B35" s="737"/>
      <c r="C35" s="737"/>
      <c r="D35" s="356" t="s">
        <v>16</v>
      </c>
      <c r="E35" s="357">
        <v>12.02</v>
      </c>
      <c r="F35" s="357">
        <v>142.05000000000001</v>
      </c>
      <c r="G35" s="357">
        <v>309.23</v>
      </c>
      <c r="H35" s="355">
        <f t="shared" si="0"/>
        <v>328.08000000000004</v>
      </c>
      <c r="I35" s="355">
        <f t="shared" si="1"/>
        <v>353.86</v>
      </c>
      <c r="J35" s="357">
        <v>11.61</v>
      </c>
      <c r="K35" s="357">
        <v>124.62</v>
      </c>
      <c r="L35" s="357">
        <v>308.76</v>
      </c>
      <c r="M35" s="358"/>
      <c r="N35" s="359"/>
      <c r="O35" s="359"/>
    </row>
    <row r="36" spans="1:15" ht="15" hidden="1" thickBot="1" x14ac:dyDescent="0.35">
      <c r="A36" s="720"/>
      <c r="B36" s="735" t="s">
        <v>50</v>
      </c>
      <c r="C36" s="735" t="s">
        <v>19</v>
      </c>
      <c r="D36" s="356" t="s">
        <v>14</v>
      </c>
      <c r="E36" s="357">
        <v>48.65</v>
      </c>
      <c r="F36" s="357">
        <v>18.47</v>
      </c>
      <c r="G36" s="357">
        <v>0</v>
      </c>
      <c r="H36" s="355">
        <f t="shared" si="0"/>
        <v>0</v>
      </c>
      <c r="I36" s="355">
        <f t="shared" si="1"/>
        <v>0</v>
      </c>
      <c r="J36" s="357">
        <v>48.07</v>
      </c>
      <c r="K36" s="357">
        <v>17.87</v>
      </c>
      <c r="L36" s="357">
        <v>0</v>
      </c>
      <c r="M36" s="361"/>
      <c r="N36" s="359"/>
      <c r="O36" s="359"/>
    </row>
    <row r="37" spans="1:15" ht="15" hidden="1" thickBot="1" x14ac:dyDescent="0.35">
      <c r="A37" s="720"/>
      <c r="B37" s="737"/>
      <c r="C37" s="737"/>
      <c r="D37" s="356" t="s">
        <v>16</v>
      </c>
      <c r="E37" s="357">
        <v>12.02</v>
      </c>
      <c r="F37" s="357">
        <v>18.47</v>
      </c>
      <c r="G37" s="357">
        <v>0</v>
      </c>
      <c r="H37" s="355">
        <f t="shared" si="0"/>
        <v>0</v>
      </c>
      <c r="I37" s="355">
        <f t="shared" si="1"/>
        <v>0</v>
      </c>
      <c r="J37" s="357">
        <v>11.61</v>
      </c>
      <c r="K37" s="357">
        <v>17.87</v>
      </c>
      <c r="L37" s="357">
        <v>0</v>
      </c>
      <c r="M37" s="3"/>
      <c r="N37" s="359"/>
      <c r="O37" s="359"/>
    </row>
    <row r="38" spans="1:15" ht="15" hidden="1" thickBot="1" x14ac:dyDescent="0.35">
      <c r="A38" s="720"/>
      <c r="B38" s="735" t="s">
        <v>74</v>
      </c>
      <c r="C38" s="735" t="s">
        <v>19</v>
      </c>
      <c r="D38" s="356" t="s">
        <v>19</v>
      </c>
      <c r="E38" s="357">
        <v>12.02</v>
      </c>
      <c r="F38" s="357">
        <v>0</v>
      </c>
      <c r="G38" s="357">
        <v>0</v>
      </c>
      <c r="H38" s="355">
        <f t="shared" si="0"/>
        <v>0</v>
      </c>
      <c r="I38" s="355">
        <f t="shared" si="1"/>
        <v>0</v>
      </c>
      <c r="J38" s="357">
        <v>11.61</v>
      </c>
      <c r="K38" s="357">
        <v>0</v>
      </c>
      <c r="L38" s="357">
        <v>0</v>
      </c>
      <c r="M38" s="358"/>
      <c r="N38" s="359"/>
      <c r="O38" s="359"/>
    </row>
    <row r="39" spans="1:15" ht="15" hidden="1" thickBot="1" x14ac:dyDescent="0.35">
      <c r="A39" s="720"/>
      <c r="B39" s="736"/>
      <c r="C39" s="736"/>
      <c r="D39" s="356" t="s">
        <v>14</v>
      </c>
      <c r="E39" s="357">
        <v>0</v>
      </c>
      <c r="F39" s="357">
        <v>1325.63</v>
      </c>
      <c r="G39" s="357">
        <v>489.03</v>
      </c>
      <c r="H39" s="355">
        <f t="shared" si="0"/>
        <v>507.88</v>
      </c>
      <c r="I39" s="355">
        <f t="shared" si="1"/>
        <v>533.66</v>
      </c>
      <c r="J39" s="357">
        <v>0</v>
      </c>
      <c r="K39" s="357">
        <v>1294.3900000000001</v>
      </c>
      <c r="L39" s="357">
        <v>482.36</v>
      </c>
      <c r="M39" s="358"/>
      <c r="N39" s="359"/>
      <c r="O39" s="359"/>
    </row>
    <row r="40" spans="1:15" ht="15" hidden="1" thickBot="1" x14ac:dyDescent="0.35">
      <c r="A40" s="720"/>
      <c r="B40" s="737"/>
      <c r="C40" s="737"/>
      <c r="D40" s="356" t="s">
        <v>16</v>
      </c>
      <c r="E40" s="357">
        <v>0</v>
      </c>
      <c r="F40" s="357">
        <v>142.05000000000001</v>
      </c>
      <c r="G40" s="357">
        <v>309.23</v>
      </c>
      <c r="H40" s="355">
        <f t="shared" si="0"/>
        <v>328.08000000000004</v>
      </c>
      <c r="I40" s="355">
        <f t="shared" si="1"/>
        <v>353.86</v>
      </c>
      <c r="J40" s="357">
        <v>0</v>
      </c>
      <c r="K40" s="357">
        <v>124.62</v>
      </c>
      <c r="L40" s="357">
        <v>308.76</v>
      </c>
      <c r="M40" s="358"/>
      <c r="N40" s="359"/>
      <c r="O40" s="359"/>
    </row>
    <row r="41" spans="1:15" ht="15" hidden="1" thickBot="1" x14ac:dyDescent="0.35">
      <c r="A41" s="720"/>
      <c r="B41" s="735" t="s">
        <v>75</v>
      </c>
      <c r="C41" s="735" t="s">
        <v>19</v>
      </c>
      <c r="D41" s="356" t="s">
        <v>19</v>
      </c>
      <c r="E41" s="357">
        <v>12.02</v>
      </c>
      <c r="F41" s="357">
        <v>0</v>
      </c>
      <c r="G41" s="357">
        <v>0</v>
      </c>
      <c r="H41" s="355">
        <f t="shared" si="0"/>
        <v>0</v>
      </c>
      <c r="I41" s="355">
        <f t="shared" si="1"/>
        <v>0</v>
      </c>
      <c r="J41" s="357">
        <v>11.61</v>
      </c>
      <c r="K41" s="357">
        <v>0</v>
      </c>
      <c r="L41" s="357">
        <v>0</v>
      </c>
      <c r="M41" s="3"/>
      <c r="N41" s="359"/>
      <c r="O41" s="359"/>
    </row>
    <row r="42" spans="1:15" ht="15" hidden="1" thickBot="1" x14ac:dyDescent="0.35">
      <c r="A42" s="720"/>
      <c r="B42" s="736"/>
      <c r="C42" s="736"/>
      <c r="D42" s="356" t="s">
        <v>14</v>
      </c>
      <c r="E42" s="357">
        <v>0</v>
      </c>
      <c r="F42" s="357">
        <v>1202.06</v>
      </c>
      <c r="G42" s="357">
        <v>0</v>
      </c>
      <c r="H42" s="355">
        <f t="shared" si="0"/>
        <v>0</v>
      </c>
      <c r="I42" s="355">
        <f t="shared" si="1"/>
        <v>0</v>
      </c>
      <c r="J42" s="357">
        <v>0</v>
      </c>
      <c r="K42" s="357">
        <v>1187.6400000000001</v>
      </c>
      <c r="L42" s="357">
        <v>0</v>
      </c>
      <c r="N42" s="359"/>
      <c r="O42" s="359"/>
    </row>
    <row r="43" spans="1:15" ht="15" hidden="1" thickBot="1" x14ac:dyDescent="0.35">
      <c r="A43" s="720"/>
      <c r="B43" s="737"/>
      <c r="C43" s="737"/>
      <c r="D43" s="356" t="s">
        <v>16</v>
      </c>
      <c r="E43" s="357">
        <v>0</v>
      </c>
      <c r="F43" s="357">
        <v>18.47</v>
      </c>
      <c r="G43" s="357">
        <v>0</v>
      </c>
      <c r="H43" s="355">
        <f t="shared" si="0"/>
        <v>0</v>
      </c>
      <c r="I43" s="355">
        <f t="shared" si="1"/>
        <v>0</v>
      </c>
      <c r="J43" s="357">
        <v>0</v>
      </c>
      <c r="K43" s="357">
        <v>17.87</v>
      </c>
      <c r="L43" s="357">
        <v>0</v>
      </c>
      <c r="N43" s="359"/>
      <c r="O43" s="359"/>
    </row>
    <row r="44" spans="1:15" ht="15" hidden="1" thickBot="1" x14ac:dyDescent="0.35">
      <c r="A44" s="720"/>
      <c r="B44" s="735" t="s">
        <v>61</v>
      </c>
      <c r="C44" s="735" t="s">
        <v>76</v>
      </c>
      <c r="D44" s="356" t="s">
        <v>14</v>
      </c>
      <c r="E44" s="357">
        <v>31.03</v>
      </c>
      <c r="F44" s="357"/>
      <c r="G44" s="357"/>
      <c r="H44" s="355">
        <f t="shared" si="0"/>
        <v>0</v>
      </c>
      <c r="I44" s="355">
        <f t="shared" si="1"/>
        <v>0</v>
      </c>
      <c r="J44" s="357">
        <v>30.44</v>
      </c>
      <c r="K44" s="357"/>
      <c r="L44" s="357"/>
      <c r="N44" s="359"/>
      <c r="O44" s="359"/>
    </row>
    <row r="45" spans="1:15" ht="15" hidden="1" thickBot="1" x14ac:dyDescent="0.35">
      <c r="A45" s="720"/>
      <c r="B45" s="736"/>
      <c r="C45" s="736"/>
      <c r="D45" s="356" t="s">
        <v>16</v>
      </c>
      <c r="E45" s="357">
        <v>9.48</v>
      </c>
      <c r="F45" s="357"/>
      <c r="G45" s="357"/>
      <c r="H45" s="355">
        <f t="shared" si="0"/>
        <v>0</v>
      </c>
      <c r="I45" s="355">
        <f t="shared" si="1"/>
        <v>0</v>
      </c>
      <c r="J45" s="357">
        <v>9.07</v>
      </c>
      <c r="K45" s="357"/>
      <c r="L45" s="357"/>
      <c r="N45" s="359"/>
      <c r="O45" s="359"/>
    </row>
    <row r="46" spans="1:15" ht="15" hidden="1" thickBot="1" x14ac:dyDescent="0.35">
      <c r="A46" s="720"/>
      <c r="B46" s="737"/>
      <c r="C46" s="737"/>
      <c r="D46" s="356" t="s">
        <v>19</v>
      </c>
      <c r="E46" s="357">
        <v>0</v>
      </c>
      <c r="F46" s="357">
        <v>7.92</v>
      </c>
      <c r="G46" s="357"/>
      <c r="H46" s="355">
        <f t="shared" si="0"/>
        <v>0</v>
      </c>
      <c r="I46" s="355">
        <f t="shared" si="1"/>
        <v>0</v>
      </c>
      <c r="J46" s="357">
        <v>0</v>
      </c>
      <c r="K46" s="357">
        <v>7.65</v>
      </c>
      <c r="L46" s="357"/>
      <c r="N46" s="359"/>
      <c r="O46" s="359"/>
    </row>
    <row r="47" spans="1:15" ht="21" hidden="1" thickBot="1" x14ac:dyDescent="0.35">
      <c r="A47" s="720"/>
      <c r="B47" s="363" t="s">
        <v>17</v>
      </c>
      <c r="C47" s="363" t="s">
        <v>19</v>
      </c>
      <c r="D47" s="363" t="s">
        <v>19</v>
      </c>
      <c r="E47" s="357"/>
      <c r="F47" s="357"/>
      <c r="G47" s="357"/>
      <c r="H47" s="355">
        <f t="shared" si="0"/>
        <v>0</v>
      </c>
      <c r="I47" s="355">
        <f t="shared" si="1"/>
        <v>0</v>
      </c>
      <c r="J47" s="357"/>
      <c r="K47" s="357"/>
      <c r="L47" s="357"/>
      <c r="N47" s="359"/>
      <c r="O47" s="359"/>
    </row>
    <row r="48" spans="1:15" ht="15" hidden="1" thickBot="1" x14ac:dyDescent="0.35">
      <c r="A48" s="721"/>
      <c r="B48" s="356" t="s">
        <v>65</v>
      </c>
      <c r="C48" s="356" t="s">
        <v>19</v>
      </c>
      <c r="D48" s="356" t="s">
        <v>19</v>
      </c>
      <c r="E48" s="357">
        <v>4.1100000000000003</v>
      </c>
      <c r="F48" s="357"/>
      <c r="G48" s="357"/>
      <c r="H48" s="355">
        <f t="shared" si="0"/>
        <v>0</v>
      </c>
      <c r="I48" s="355">
        <f t="shared" si="1"/>
        <v>0</v>
      </c>
      <c r="J48" s="357">
        <v>4.1100000000000003</v>
      </c>
      <c r="K48" s="357"/>
      <c r="L48" s="357"/>
      <c r="N48" s="359"/>
      <c r="O48" s="359"/>
    </row>
    <row r="49" spans="1:15" ht="15" hidden="1" thickBot="1" x14ac:dyDescent="0.35">
      <c r="A49" s="719" t="s">
        <v>77</v>
      </c>
      <c r="B49" s="735" t="s">
        <v>48</v>
      </c>
      <c r="C49" s="735" t="s">
        <v>19</v>
      </c>
      <c r="D49" s="356" t="s">
        <v>14</v>
      </c>
      <c r="E49" s="357">
        <v>48.65</v>
      </c>
      <c r="F49" s="357">
        <v>142.05000000000001</v>
      </c>
      <c r="G49" s="357">
        <v>489.03</v>
      </c>
      <c r="H49" s="355">
        <f t="shared" si="0"/>
        <v>507.88</v>
      </c>
      <c r="I49" s="355">
        <f t="shared" si="1"/>
        <v>533.66</v>
      </c>
      <c r="J49" s="357">
        <v>48.07</v>
      </c>
      <c r="K49" s="357">
        <v>124.62</v>
      </c>
      <c r="L49" s="357">
        <v>482.36</v>
      </c>
      <c r="N49" s="359"/>
      <c r="O49" s="359"/>
    </row>
    <row r="50" spans="1:15" ht="15" hidden="1" thickBot="1" x14ac:dyDescent="0.35">
      <c r="A50" s="720"/>
      <c r="B50" s="737"/>
      <c r="C50" s="737"/>
      <c r="D50" s="356" t="s">
        <v>16</v>
      </c>
      <c r="E50" s="357">
        <v>12.02</v>
      </c>
      <c r="F50" s="357">
        <v>142.05000000000001</v>
      </c>
      <c r="G50" s="357">
        <v>309.23</v>
      </c>
      <c r="H50" s="355">
        <f t="shared" si="0"/>
        <v>328.08000000000004</v>
      </c>
      <c r="I50" s="355">
        <f t="shared" si="1"/>
        <v>353.86</v>
      </c>
      <c r="J50" s="357">
        <v>11.61</v>
      </c>
      <c r="K50" s="357">
        <v>124.62</v>
      </c>
      <c r="L50" s="357">
        <v>308.76</v>
      </c>
      <c r="M50" s="358"/>
      <c r="N50" s="359"/>
      <c r="O50" s="359"/>
    </row>
    <row r="51" spans="1:15" ht="15" hidden="1" thickBot="1" x14ac:dyDescent="0.35">
      <c r="A51" s="720"/>
      <c r="B51" s="735" t="s">
        <v>50</v>
      </c>
      <c r="C51" s="735" t="s">
        <v>19</v>
      </c>
      <c r="D51" s="356" t="s">
        <v>14</v>
      </c>
      <c r="E51" s="357">
        <v>48.65</v>
      </c>
      <c r="F51" s="357">
        <v>18.47</v>
      </c>
      <c r="G51" s="357">
        <v>0</v>
      </c>
      <c r="H51" s="355">
        <f t="shared" si="0"/>
        <v>0</v>
      </c>
      <c r="I51" s="355">
        <f t="shared" si="1"/>
        <v>0</v>
      </c>
      <c r="J51" s="357">
        <v>48.07</v>
      </c>
      <c r="K51" s="357">
        <v>17.87</v>
      </c>
      <c r="L51" s="357">
        <v>0</v>
      </c>
      <c r="M51" s="358"/>
      <c r="N51" s="359"/>
      <c r="O51" s="359"/>
    </row>
    <row r="52" spans="1:15" ht="15" hidden="1" thickBot="1" x14ac:dyDescent="0.35">
      <c r="A52" s="720"/>
      <c r="B52" s="737"/>
      <c r="C52" s="737"/>
      <c r="D52" s="356" t="s">
        <v>16</v>
      </c>
      <c r="E52" s="357">
        <v>12.02</v>
      </c>
      <c r="F52" s="357">
        <v>18.47</v>
      </c>
      <c r="G52" s="357">
        <v>0</v>
      </c>
      <c r="H52" s="355">
        <f t="shared" si="0"/>
        <v>0</v>
      </c>
      <c r="I52" s="355">
        <f t="shared" si="1"/>
        <v>0</v>
      </c>
      <c r="J52" s="357">
        <v>11.61</v>
      </c>
      <c r="K52" s="357">
        <v>17.87</v>
      </c>
      <c r="L52" s="357">
        <v>0</v>
      </c>
      <c r="M52" s="361"/>
      <c r="N52" s="359"/>
      <c r="O52" s="359"/>
    </row>
    <row r="53" spans="1:15" ht="15" hidden="1" thickBot="1" x14ac:dyDescent="0.35">
      <c r="A53" s="720"/>
      <c r="B53" s="735" t="s">
        <v>74</v>
      </c>
      <c r="C53" s="735" t="s">
        <v>19</v>
      </c>
      <c r="D53" s="356" t="s">
        <v>19</v>
      </c>
      <c r="E53" s="357">
        <v>12.02</v>
      </c>
      <c r="F53" s="357"/>
      <c r="G53" s="357"/>
      <c r="H53" s="355">
        <f t="shared" si="0"/>
        <v>0</v>
      </c>
      <c r="I53" s="355">
        <f t="shared" si="1"/>
        <v>0</v>
      </c>
      <c r="J53" s="357">
        <v>11.61</v>
      </c>
      <c r="K53" s="357"/>
      <c r="L53" s="357"/>
      <c r="M53" s="3"/>
      <c r="N53" s="359"/>
      <c r="O53" s="359"/>
    </row>
    <row r="54" spans="1:15" ht="15" hidden="1" thickBot="1" x14ac:dyDescent="0.35">
      <c r="A54" s="720"/>
      <c r="B54" s="736"/>
      <c r="C54" s="736"/>
      <c r="D54" s="356" t="s">
        <v>14</v>
      </c>
      <c r="E54" s="357"/>
      <c r="F54" s="357">
        <v>1325.63</v>
      </c>
      <c r="G54" s="357">
        <v>489.03</v>
      </c>
      <c r="H54" s="355">
        <f t="shared" si="0"/>
        <v>507.88</v>
      </c>
      <c r="I54" s="355">
        <f t="shared" si="1"/>
        <v>533.66</v>
      </c>
      <c r="J54" s="357"/>
      <c r="K54" s="357">
        <v>1294.3900000000001</v>
      </c>
      <c r="L54" s="357">
        <v>482.36</v>
      </c>
      <c r="M54" s="358"/>
      <c r="N54" s="359"/>
      <c r="O54" s="359"/>
    </row>
    <row r="55" spans="1:15" ht="15" hidden="1" thickBot="1" x14ac:dyDescent="0.35">
      <c r="A55" s="720"/>
      <c r="B55" s="737"/>
      <c r="C55" s="737"/>
      <c r="D55" s="356" t="s">
        <v>16</v>
      </c>
      <c r="E55" s="357"/>
      <c r="F55" s="357">
        <v>142.05000000000001</v>
      </c>
      <c r="G55" s="357">
        <v>309.23</v>
      </c>
      <c r="H55" s="355">
        <f t="shared" si="0"/>
        <v>328.08000000000004</v>
      </c>
      <c r="I55" s="355">
        <f t="shared" si="1"/>
        <v>353.86</v>
      </c>
      <c r="J55" s="357"/>
      <c r="K55" s="357">
        <v>124.62</v>
      </c>
      <c r="L55" s="357">
        <v>308.76</v>
      </c>
      <c r="M55" s="358"/>
      <c r="N55" s="359"/>
      <c r="O55" s="359"/>
    </row>
    <row r="56" spans="1:15" ht="15" hidden="1" thickBot="1" x14ac:dyDescent="0.35">
      <c r="A56" s="720"/>
      <c r="B56" s="735" t="s">
        <v>75</v>
      </c>
      <c r="C56" s="735" t="s">
        <v>19</v>
      </c>
      <c r="D56" s="356" t="s">
        <v>19</v>
      </c>
      <c r="E56" s="357">
        <v>12.02</v>
      </c>
      <c r="F56" s="357"/>
      <c r="G56" s="357"/>
      <c r="H56" s="355">
        <f t="shared" si="0"/>
        <v>0</v>
      </c>
      <c r="I56" s="355">
        <f t="shared" si="1"/>
        <v>0</v>
      </c>
      <c r="J56" s="357">
        <v>11.61</v>
      </c>
      <c r="K56" s="357"/>
      <c r="L56" s="357"/>
      <c r="M56" s="358"/>
      <c r="N56" s="359"/>
      <c r="O56" s="359"/>
    </row>
    <row r="57" spans="1:15" ht="15" hidden="1" thickBot="1" x14ac:dyDescent="0.35">
      <c r="A57" s="720"/>
      <c r="B57" s="736"/>
      <c r="C57" s="736"/>
      <c r="D57" s="356" t="s">
        <v>14</v>
      </c>
      <c r="E57" s="357"/>
      <c r="F57" s="357">
        <v>1202.06</v>
      </c>
      <c r="G57" s="357">
        <v>0</v>
      </c>
      <c r="H57" s="355">
        <f t="shared" si="0"/>
        <v>0</v>
      </c>
      <c r="I57" s="355">
        <f t="shared" si="1"/>
        <v>0</v>
      </c>
      <c r="J57" s="357"/>
      <c r="K57" s="357">
        <v>1187.6400000000001</v>
      </c>
      <c r="L57" s="357">
        <v>0</v>
      </c>
      <c r="M57" s="3"/>
      <c r="N57" s="359"/>
      <c r="O57" s="359"/>
    </row>
    <row r="58" spans="1:15" ht="15" hidden="1" thickBot="1" x14ac:dyDescent="0.35">
      <c r="A58" s="720"/>
      <c r="B58" s="737"/>
      <c r="C58" s="737"/>
      <c r="D58" s="356" t="s">
        <v>16</v>
      </c>
      <c r="E58" s="357"/>
      <c r="F58" s="357">
        <v>18.47</v>
      </c>
      <c r="G58" s="357">
        <v>0</v>
      </c>
      <c r="H58" s="355">
        <f t="shared" si="0"/>
        <v>0</v>
      </c>
      <c r="I58" s="355">
        <f t="shared" si="1"/>
        <v>0</v>
      </c>
      <c r="J58" s="357"/>
      <c r="K58" s="357">
        <v>17.87</v>
      </c>
      <c r="L58" s="357">
        <v>0</v>
      </c>
      <c r="N58" s="359"/>
      <c r="O58" s="359"/>
    </row>
    <row r="59" spans="1:15" ht="21" hidden="1" thickBot="1" x14ac:dyDescent="0.35">
      <c r="A59" s="720"/>
      <c r="B59" s="356" t="s">
        <v>17</v>
      </c>
      <c r="C59" s="356" t="s">
        <v>19</v>
      </c>
      <c r="D59" s="356" t="s">
        <v>19</v>
      </c>
      <c r="E59" s="357"/>
      <c r="F59" s="357"/>
      <c r="G59" s="357"/>
      <c r="H59" s="355">
        <f t="shared" si="0"/>
        <v>0</v>
      </c>
      <c r="I59" s="355">
        <f t="shared" si="1"/>
        <v>0</v>
      </c>
      <c r="J59" s="357"/>
      <c r="K59" s="357"/>
      <c r="L59" s="357"/>
      <c r="N59" s="359"/>
      <c r="O59" s="359"/>
    </row>
    <row r="60" spans="1:15" ht="15" hidden="1" thickBot="1" x14ac:dyDescent="0.35">
      <c r="A60" s="720"/>
      <c r="B60" s="735" t="s">
        <v>61</v>
      </c>
      <c r="C60" s="738" t="s">
        <v>78</v>
      </c>
      <c r="D60" s="356" t="s">
        <v>14</v>
      </c>
      <c r="E60" s="357">
        <v>31.03</v>
      </c>
      <c r="F60" s="357"/>
      <c r="G60" s="357"/>
      <c r="H60" s="355">
        <f t="shared" si="0"/>
        <v>0</v>
      </c>
      <c r="I60" s="355">
        <f t="shared" si="1"/>
        <v>0</v>
      </c>
      <c r="J60" s="357">
        <v>30.44</v>
      </c>
      <c r="K60" s="357"/>
      <c r="L60" s="357"/>
      <c r="N60" s="359"/>
      <c r="O60" s="359"/>
    </row>
    <row r="61" spans="1:15" ht="15" hidden="1" thickBot="1" x14ac:dyDescent="0.35">
      <c r="A61" s="720"/>
      <c r="B61" s="736"/>
      <c r="C61" s="739"/>
      <c r="D61" s="356" t="s">
        <v>16</v>
      </c>
      <c r="E61" s="357">
        <v>9.48</v>
      </c>
      <c r="F61" s="357"/>
      <c r="G61" s="357"/>
      <c r="H61" s="355">
        <f t="shared" si="0"/>
        <v>0</v>
      </c>
      <c r="I61" s="355">
        <f t="shared" si="1"/>
        <v>0</v>
      </c>
      <c r="J61" s="357">
        <v>9.07</v>
      </c>
      <c r="K61" s="357"/>
      <c r="L61" s="357"/>
      <c r="N61" s="359"/>
      <c r="O61" s="359"/>
    </row>
    <row r="62" spans="1:15" ht="15" hidden="1" thickBot="1" x14ac:dyDescent="0.35">
      <c r="A62" s="720"/>
      <c r="B62" s="737"/>
      <c r="C62" s="740"/>
      <c r="D62" s="356" t="s">
        <v>19</v>
      </c>
      <c r="E62" s="357"/>
      <c r="F62" s="357">
        <v>7.92</v>
      </c>
      <c r="G62" s="357">
        <v>311.51</v>
      </c>
      <c r="H62" s="355">
        <f t="shared" si="0"/>
        <v>330.36</v>
      </c>
      <c r="I62" s="355">
        <f t="shared" si="1"/>
        <v>356.14</v>
      </c>
      <c r="J62" s="357"/>
      <c r="K62" s="357">
        <v>7.65</v>
      </c>
      <c r="L62" s="357">
        <v>310.74</v>
      </c>
      <c r="N62" s="359"/>
      <c r="O62" s="359"/>
    </row>
    <row r="63" spans="1:15" ht="15" hidden="1" thickBot="1" x14ac:dyDescent="0.35">
      <c r="A63" s="721"/>
      <c r="B63" s="356" t="s">
        <v>65</v>
      </c>
      <c r="C63" s="356" t="s">
        <v>19</v>
      </c>
      <c r="D63" s="356" t="s">
        <v>19</v>
      </c>
      <c r="E63" s="357">
        <v>4.1100000000000003</v>
      </c>
      <c r="F63" s="357"/>
      <c r="G63" s="357"/>
      <c r="H63" s="355">
        <f t="shared" si="0"/>
        <v>0</v>
      </c>
      <c r="I63" s="355">
        <f t="shared" si="1"/>
        <v>0</v>
      </c>
      <c r="J63" s="357">
        <v>4.1100000000000003</v>
      </c>
      <c r="K63" s="357"/>
      <c r="L63" s="357"/>
      <c r="N63" s="359"/>
      <c r="O63" s="359"/>
    </row>
    <row r="64" spans="1:15" ht="15" hidden="1" thickBot="1" x14ac:dyDescent="0.35">
      <c r="A64" s="364"/>
      <c r="B64" s="364"/>
      <c r="C64" s="364"/>
      <c r="D64" s="364"/>
      <c r="E64" s="364"/>
      <c r="F64" s="364"/>
      <c r="G64" s="364"/>
      <c r="H64" s="364"/>
      <c r="I64" s="364"/>
      <c r="J64" s="364"/>
      <c r="K64" s="364"/>
      <c r="L64" s="364"/>
    </row>
    <row r="65" spans="1:18" ht="15" thickBot="1" x14ac:dyDescent="0.35">
      <c r="A65" s="667" t="s">
        <v>79</v>
      </c>
      <c r="B65" s="668"/>
      <c r="C65" s="668"/>
      <c r="D65" s="668"/>
      <c r="E65" s="668"/>
      <c r="F65" s="668"/>
      <c r="G65" s="668"/>
      <c r="H65" s="668"/>
      <c r="I65" s="668"/>
      <c r="J65" s="668"/>
      <c r="K65" s="668"/>
      <c r="L65" s="668"/>
      <c r="M65" s="669"/>
    </row>
    <row r="66" spans="1:18" ht="15" thickBot="1" x14ac:dyDescent="0.35">
      <c r="A66" s="725" t="s">
        <v>0</v>
      </c>
      <c r="B66" s="725" t="s">
        <v>1</v>
      </c>
      <c r="C66" s="725" t="s">
        <v>2</v>
      </c>
      <c r="D66" s="725" t="s">
        <v>80</v>
      </c>
      <c r="E66" s="725" t="s">
        <v>3</v>
      </c>
      <c r="F66" s="728" t="s">
        <v>4</v>
      </c>
      <c r="G66" s="729"/>
      <c r="H66" s="729"/>
      <c r="I66" s="729"/>
      <c r="J66" s="730"/>
      <c r="K66" s="728" t="s">
        <v>81</v>
      </c>
      <c r="L66" s="729"/>
      <c r="M66" s="729"/>
      <c r="N66" s="731">
        <v>2025</v>
      </c>
      <c r="O66" s="731"/>
    </row>
    <row r="67" spans="1:18" ht="15" thickBot="1" x14ac:dyDescent="0.35">
      <c r="A67" s="726"/>
      <c r="B67" s="726"/>
      <c r="C67" s="726"/>
      <c r="D67" s="726"/>
      <c r="E67" s="726"/>
      <c r="F67" s="732" t="s">
        <v>6</v>
      </c>
      <c r="G67" s="733"/>
      <c r="H67" s="732" t="s">
        <v>7</v>
      </c>
      <c r="I67" s="734"/>
      <c r="J67" s="733"/>
      <c r="K67" s="732" t="s">
        <v>6</v>
      </c>
      <c r="L67" s="733"/>
      <c r="M67" s="365" t="s">
        <v>7</v>
      </c>
      <c r="N67" s="366" t="s">
        <v>82</v>
      </c>
      <c r="O67" s="366" t="s">
        <v>7</v>
      </c>
    </row>
    <row r="68" spans="1:18" ht="21" thickBot="1" x14ac:dyDescent="0.35">
      <c r="A68" s="727"/>
      <c r="B68" s="727"/>
      <c r="C68" s="727"/>
      <c r="D68" s="727"/>
      <c r="E68" s="727"/>
      <c r="F68" s="15" t="s">
        <v>8</v>
      </c>
      <c r="G68" s="15" t="s">
        <v>9</v>
      </c>
      <c r="H68" s="15" t="s">
        <v>41</v>
      </c>
      <c r="I68" s="367" t="s">
        <v>40</v>
      </c>
      <c r="J68" s="368" t="s">
        <v>42</v>
      </c>
      <c r="K68" s="15" t="s">
        <v>8</v>
      </c>
      <c r="L68" s="15" t="s">
        <v>9</v>
      </c>
      <c r="M68" s="365" t="s">
        <v>9</v>
      </c>
      <c r="N68" s="369" t="s">
        <v>8</v>
      </c>
      <c r="O68" s="369" t="s">
        <v>8</v>
      </c>
    </row>
    <row r="69" spans="1:18" ht="15" thickBot="1" x14ac:dyDescent="0.35">
      <c r="A69" s="720" t="s">
        <v>11</v>
      </c>
      <c r="B69" s="723" t="s">
        <v>22</v>
      </c>
      <c r="C69" s="723" t="s">
        <v>18</v>
      </c>
      <c r="D69" s="723" t="s">
        <v>18</v>
      </c>
      <c r="E69" s="370" t="s">
        <v>14</v>
      </c>
      <c r="F69" s="371"/>
      <c r="G69" s="372">
        <v>865.63</v>
      </c>
      <c r="H69" s="372">
        <v>494.84</v>
      </c>
      <c r="I69" s="373">
        <f t="shared" ref="I69:I91" si="2">IF(H69=$T$2,0,(H69+$T$3))</f>
        <v>513.68999999999994</v>
      </c>
      <c r="J69" s="374">
        <f t="shared" ref="J69:J91" si="3">IF(H69=$T$2,0,(H69+$T$4))</f>
        <v>539.47</v>
      </c>
      <c r="K69" s="375"/>
      <c r="L69" s="375">
        <v>834.35</v>
      </c>
      <c r="M69" s="376">
        <v>488.06</v>
      </c>
      <c r="N69" s="377">
        <f>G69/1000</f>
        <v>0.86563000000000001</v>
      </c>
      <c r="O69" s="377">
        <f>H69/1000</f>
        <v>0.49484</v>
      </c>
      <c r="P69" s="3"/>
      <c r="Q69" s="378"/>
      <c r="R69" s="378"/>
    </row>
    <row r="70" spans="1:18" ht="15" thickBot="1" x14ac:dyDescent="0.35">
      <c r="A70" s="720"/>
      <c r="B70" s="723"/>
      <c r="C70" s="723"/>
      <c r="D70" s="723"/>
      <c r="E70" s="370" t="s">
        <v>15</v>
      </c>
      <c r="F70" s="371"/>
      <c r="G70" s="372">
        <v>599.79999999999995</v>
      </c>
      <c r="H70" s="372">
        <v>315.04000000000002</v>
      </c>
      <c r="I70" s="373">
        <f t="shared" si="2"/>
        <v>333.89000000000004</v>
      </c>
      <c r="J70" s="374">
        <f t="shared" si="3"/>
        <v>359.67</v>
      </c>
      <c r="K70" s="375"/>
      <c r="L70" s="375">
        <v>571.96</v>
      </c>
      <c r="M70" s="376">
        <v>314.45</v>
      </c>
      <c r="N70" s="377">
        <f t="shared" ref="N70:O91" si="4">G70/1000</f>
        <v>0.5998</v>
      </c>
      <c r="O70" s="377">
        <f t="shared" si="4"/>
        <v>0.31504000000000004</v>
      </c>
      <c r="P70" s="3"/>
    </row>
    <row r="71" spans="1:18" ht="15" thickBot="1" x14ac:dyDescent="0.35">
      <c r="A71" s="720"/>
      <c r="B71" s="724"/>
      <c r="C71" s="724"/>
      <c r="D71" s="724"/>
      <c r="E71" s="370" t="s">
        <v>16</v>
      </c>
      <c r="F71" s="371"/>
      <c r="G71" s="372">
        <v>333.98</v>
      </c>
      <c r="H71" s="372">
        <v>315.04000000000002</v>
      </c>
      <c r="I71" s="373">
        <f t="shared" si="2"/>
        <v>333.89000000000004</v>
      </c>
      <c r="J71" s="374">
        <f t="shared" si="3"/>
        <v>359.67</v>
      </c>
      <c r="K71" s="375"/>
      <c r="L71" s="375">
        <v>309.57</v>
      </c>
      <c r="M71" s="376">
        <v>314.45</v>
      </c>
      <c r="N71" s="377">
        <f t="shared" si="4"/>
        <v>0.33398</v>
      </c>
      <c r="O71" s="377">
        <f t="shared" si="4"/>
        <v>0.31504000000000004</v>
      </c>
      <c r="P71" s="3"/>
    </row>
    <row r="72" spans="1:18" ht="15" thickBot="1" x14ac:dyDescent="0.35">
      <c r="A72" s="720"/>
      <c r="B72" s="722" t="s">
        <v>17</v>
      </c>
      <c r="C72" s="722" t="s">
        <v>18</v>
      </c>
      <c r="D72" s="20" t="s">
        <v>18</v>
      </c>
      <c r="E72" s="370" t="s">
        <v>19</v>
      </c>
      <c r="F72" s="371"/>
      <c r="G72" s="372">
        <v>456.67</v>
      </c>
      <c r="H72" s="372">
        <v>330.03</v>
      </c>
      <c r="I72" s="373">
        <f t="shared" si="2"/>
        <v>348.88</v>
      </c>
      <c r="J72" s="374">
        <f t="shared" si="3"/>
        <v>374.65999999999997</v>
      </c>
      <c r="K72" s="375"/>
      <c r="L72" s="375">
        <v>430.67</v>
      </c>
      <c r="M72" s="376">
        <v>328.92</v>
      </c>
      <c r="N72" s="377">
        <f t="shared" si="4"/>
        <v>0.45667000000000002</v>
      </c>
      <c r="O72" s="377">
        <f t="shared" si="4"/>
        <v>0.33002999999999999</v>
      </c>
      <c r="P72" s="3"/>
    </row>
    <row r="73" spans="1:18" ht="23.4" thickBot="1" x14ac:dyDescent="0.35">
      <c r="A73" s="721"/>
      <c r="B73" s="724"/>
      <c r="C73" s="724"/>
      <c r="D73" s="20" t="s">
        <v>83</v>
      </c>
      <c r="E73" s="370" t="s">
        <v>19</v>
      </c>
      <c r="F73" s="371"/>
      <c r="G73" s="372">
        <v>300.8</v>
      </c>
      <c r="H73" s="372">
        <v>304.75</v>
      </c>
      <c r="I73" s="373">
        <f t="shared" si="2"/>
        <v>323.60000000000002</v>
      </c>
      <c r="J73" s="374">
        <f t="shared" si="3"/>
        <v>349.38</v>
      </c>
      <c r="K73" s="375"/>
      <c r="L73" s="375">
        <v>296.01</v>
      </c>
      <c r="M73" s="376">
        <v>304.16000000000003</v>
      </c>
      <c r="N73" s="377">
        <f t="shared" si="4"/>
        <v>0.30080000000000001</v>
      </c>
      <c r="O73" s="377">
        <f t="shared" si="4"/>
        <v>0.30475000000000002</v>
      </c>
      <c r="P73" s="3"/>
    </row>
    <row r="74" spans="1:18" ht="15" thickBot="1" x14ac:dyDescent="0.35">
      <c r="A74" s="719" t="s">
        <v>21</v>
      </c>
      <c r="B74" s="722" t="s">
        <v>22</v>
      </c>
      <c r="C74" s="722" t="s">
        <v>23</v>
      </c>
      <c r="D74" s="722" t="s">
        <v>19</v>
      </c>
      <c r="E74" s="370" t="s">
        <v>14</v>
      </c>
      <c r="F74" s="371"/>
      <c r="G74" s="372">
        <v>993.43</v>
      </c>
      <c r="H74" s="372">
        <v>494.84</v>
      </c>
      <c r="I74" s="373">
        <f t="shared" si="2"/>
        <v>513.68999999999994</v>
      </c>
      <c r="J74" s="374">
        <f t="shared" si="3"/>
        <v>539.47</v>
      </c>
      <c r="K74" s="375"/>
      <c r="L74" s="375">
        <v>960.49</v>
      </c>
      <c r="M74" s="376">
        <v>488.06</v>
      </c>
      <c r="N74" s="377">
        <f t="shared" si="4"/>
        <v>0.99342999999999992</v>
      </c>
      <c r="O74" s="377">
        <f t="shared" si="4"/>
        <v>0.49484</v>
      </c>
      <c r="P74" s="3"/>
    </row>
    <row r="75" spans="1:18" ht="15" thickBot="1" x14ac:dyDescent="0.35">
      <c r="A75" s="720"/>
      <c r="B75" s="723"/>
      <c r="C75" s="723"/>
      <c r="D75" s="723"/>
      <c r="E75" s="370" t="s">
        <v>15</v>
      </c>
      <c r="F75" s="371"/>
      <c r="G75" s="372">
        <v>676.48</v>
      </c>
      <c r="H75" s="372">
        <v>315.04000000000002</v>
      </c>
      <c r="I75" s="373">
        <f t="shared" si="2"/>
        <v>333.89000000000004</v>
      </c>
      <c r="J75" s="374">
        <f t="shared" si="3"/>
        <v>359.67</v>
      </c>
      <c r="K75" s="375"/>
      <c r="L75" s="375">
        <v>647.65</v>
      </c>
      <c r="M75" s="376">
        <v>314.45</v>
      </c>
      <c r="N75" s="377">
        <f t="shared" si="4"/>
        <v>0.67647999999999997</v>
      </c>
      <c r="O75" s="377">
        <f t="shared" si="4"/>
        <v>0.31504000000000004</v>
      </c>
      <c r="P75" s="3"/>
    </row>
    <row r="76" spans="1:18" ht="15" thickBot="1" x14ac:dyDescent="0.35">
      <c r="A76" s="720"/>
      <c r="B76" s="724"/>
      <c r="C76" s="724"/>
      <c r="D76" s="724"/>
      <c r="E76" s="370" t="s">
        <v>16</v>
      </c>
      <c r="F76" s="371"/>
      <c r="G76" s="372">
        <v>359.54</v>
      </c>
      <c r="H76" s="372">
        <v>315.04000000000002</v>
      </c>
      <c r="I76" s="373">
        <f t="shared" si="2"/>
        <v>333.89000000000004</v>
      </c>
      <c r="J76" s="374">
        <f t="shared" si="3"/>
        <v>359.67</v>
      </c>
      <c r="K76" s="375"/>
      <c r="L76" s="375">
        <v>334.8</v>
      </c>
      <c r="M76" s="376">
        <v>314.45</v>
      </c>
      <c r="N76" s="377">
        <f t="shared" si="4"/>
        <v>0.35954000000000003</v>
      </c>
      <c r="O76" s="377">
        <f t="shared" si="4"/>
        <v>0.31504000000000004</v>
      </c>
      <c r="P76" s="3"/>
    </row>
    <row r="77" spans="1:18" ht="21" thickBot="1" x14ac:dyDescent="0.35">
      <c r="A77" s="720"/>
      <c r="B77" s="20" t="s">
        <v>17</v>
      </c>
      <c r="C77" s="20" t="s">
        <v>23</v>
      </c>
      <c r="D77" s="20" t="s">
        <v>19</v>
      </c>
      <c r="E77" s="370" t="s">
        <v>19</v>
      </c>
      <c r="F77" s="371"/>
      <c r="G77" s="372">
        <v>456.67</v>
      </c>
      <c r="H77" s="372">
        <v>330.03</v>
      </c>
      <c r="I77" s="373">
        <f t="shared" si="2"/>
        <v>348.88</v>
      </c>
      <c r="J77" s="374">
        <f t="shared" si="3"/>
        <v>374.65999999999997</v>
      </c>
      <c r="K77" s="375"/>
      <c r="L77" s="375">
        <v>430.67</v>
      </c>
      <c r="M77" s="376">
        <v>328.92</v>
      </c>
      <c r="N77" s="377">
        <f t="shared" si="4"/>
        <v>0.45667000000000002</v>
      </c>
      <c r="O77" s="377">
        <f t="shared" si="4"/>
        <v>0.33002999999999999</v>
      </c>
      <c r="P77" s="3"/>
    </row>
    <row r="78" spans="1:18" ht="15" thickBot="1" x14ac:dyDescent="0.35">
      <c r="A78" s="720"/>
      <c r="B78" s="722" t="s">
        <v>22</v>
      </c>
      <c r="C78" s="722" t="s">
        <v>23</v>
      </c>
      <c r="D78" s="722" t="s">
        <v>84</v>
      </c>
      <c r="E78" s="370" t="s">
        <v>14</v>
      </c>
      <c r="F78" s="371"/>
      <c r="G78" s="372">
        <v>993.43</v>
      </c>
      <c r="H78" s="372">
        <v>494.84</v>
      </c>
      <c r="I78" s="373">
        <f t="shared" si="2"/>
        <v>513.68999999999994</v>
      </c>
      <c r="J78" s="374">
        <f t="shared" si="3"/>
        <v>539.47</v>
      </c>
      <c r="K78" s="375"/>
      <c r="L78" s="375">
        <v>960.49</v>
      </c>
      <c r="M78" s="376">
        <v>488.06</v>
      </c>
      <c r="N78" s="377">
        <f t="shared" si="4"/>
        <v>0.99342999999999992</v>
      </c>
      <c r="O78" s="377">
        <f t="shared" si="4"/>
        <v>0.49484</v>
      </c>
      <c r="P78" s="3"/>
    </row>
    <row r="79" spans="1:18" ht="15" thickBot="1" x14ac:dyDescent="0.35">
      <c r="A79" s="720"/>
      <c r="B79" s="723"/>
      <c r="C79" s="723"/>
      <c r="D79" s="723"/>
      <c r="E79" s="370" t="s">
        <v>15</v>
      </c>
      <c r="F79" s="371"/>
      <c r="G79" s="372">
        <v>676.48</v>
      </c>
      <c r="H79" s="372">
        <v>315.04000000000002</v>
      </c>
      <c r="I79" s="373">
        <f t="shared" si="2"/>
        <v>333.89000000000004</v>
      </c>
      <c r="J79" s="374">
        <f t="shared" si="3"/>
        <v>359.67</v>
      </c>
      <c r="K79" s="375"/>
      <c r="L79" s="375">
        <v>647.65</v>
      </c>
      <c r="M79" s="376">
        <v>314.45</v>
      </c>
      <c r="N79" s="377">
        <f t="shared" si="4"/>
        <v>0.67647999999999997</v>
      </c>
      <c r="O79" s="377">
        <f t="shared" si="4"/>
        <v>0.31504000000000004</v>
      </c>
      <c r="P79" s="3"/>
    </row>
    <row r="80" spans="1:18" ht="15" thickBot="1" x14ac:dyDescent="0.35">
      <c r="A80" s="720"/>
      <c r="B80" s="724"/>
      <c r="C80" s="724"/>
      <c r="D80" s="724"/>
      <c r="E80" s="370" t="s">
        <v>16</v>
      </c>
      <c r="F80" s="371"/>
      <c r="G80" s="372">
        <v>359.54</v>
      </c>
      <c r="H80" s="372">
        <v>315.04000000000002</v>
      </c>
      <c r="I80" s="373">
        <f t="shared" si="2"/>
        <v>333.89000000000004</v>
      </c>
      <c r="J80" s="374">
        <f t="shared" si="3"/>
        <v>359.67</v>
      </c>
      <c r="K80" s="375"/>
      <c r="L80" s="375">
        <v>334.8</v>
      </c>
      <c r="M80" s="376">
        <v>314.45</v>
      </c>
      <c r="N80" s="377">
        <f t="shared" si="4"/>
        <v>0.35954000000000003</v>
      </c>
      <c r="O80" s="377">
        <f t="shared" si="4"/>
        <v>0.31504000000000004</v>
      </c>
      <c r="P80" s="3"/>
    </row>
    <row r="81" spans="1:16" ht="41.4" thickBot="1" x14ac:dyDescent="0.35">
      <c r="A81" s="720"/>
      <c r="B81" s="20" t="s">
        <v>17</v>
      </c>
      <c r="C81" s="20" t="s">
        <v>23</v>
      </c>
      <c r="D81" s="20" t="s">
        <v>84</v>
      </c>
      <c r="E81" s="370" t="s">
        <v>19</v>
      </c>
      <c r="F81" s="371"/>
      <c r="G81" s="372">
        <v>456.67</v>
      </c>
      <c r="H81" s="372">
        <v>330.03</v>
      </c>
      <c r="I81" s="373">
        <f t="shared" si="2"/>
        <v>348.88</v>
      </c>
      <c r="J81" s="374">
        <f t="shared" si="3"/>
        <v>374.65999999999997</v>
      </c>
      <c r="K81" s="375"/>
      <c r="L81" s="375">
        <v>430.67</v>
      </c>
      <c r="M81" s="376">
        <v>328.92</v>
      </c>
      <c r="N81" s="377">
        <f t="shared" si="4"/>
        <v>0.45667000000000002</v>
      </c>
      <c r="O81" s="377">
        <f t="shared" si="4"/>
        <v>0.33002999999999999</v>
      </c>
      <c r="P81" s="3"/>
    </row>
    <row r="82" spans="1:16" ht="15" thickBot="1" x14ac:dyDescent="0.35">
      <c r="A82" s="720"/>
      <c r="B82" s="722" t="s">
        <v>22</v>
      </c>
      <c r="C82" s="722" t="s">
        <v>23</v>
      </c>
      <c r="D82" s="722" t="s">
        <v>85</v>
      </c>
      <c r="E82" s="370" t="s">
        <v>14</v>
      </c>
      <c r="F82" s="371"/>
      <c r="G82" s="372">
        <v>993.43</v>
      </c>
      <c r="H82" s="372">
        <v>494.84</v>
      </c>
      <c r="I82" s="373">
        <f t="shared" si="2"/>
        <v>513.68999999999994</v>
      </c>
      <c r="J82" s="374">
        <f t="shared" si="3"/>
        <v>539.47</v>
      </c>
      <c r="K82" s="375"/>
      <c r="L82" s="375">
        <v>960.49</v>
      </c>
      <c r="M82" s="376">
        <v>488.06</v>
      </c>
      <c r="N82" s="377">
        <f t="shared" si="4"/>
        <v>0.99342999999999992</v>
      </c>
      <c r="O82" s="377">
        <f t="shared" si="4"/>
        <v>0.49484</v>
      </c>
      <c r="P82" s="3"/>
    </row>
    <row r="83" spans="1:16" ht="15" thickBot="1" x14ac:dyDescent="0.35">
      <c r="A83" s="720"/>
      <c r="B83" s="723"/>
      <c r="C83" s="723"/>
      <c r="D83" s="723"/>
      <c r="E83" s="370" t="s">
        <v>15</v>
      </c>
      <c r="F83" s="371"/>
      <c r="G83" s="372">
        <v>676.48</v>
      </c>
      <c r="H83" s="372">
        <v>315.04000000000002</v>
      </c>
      <c r="I83" s="373">
        <f t="shared" si="2"/>
        <v>333.89000000000004</v>
      </c>
      <c r="J83" s="374">
        <f t="shared" si="3"/>
        <v>359.67</v>
      </c>
      <c r="K83" s="375"/>
      <c r="L83" s="375">
        <v>647.65</v>
      </c>
      <c r="M83" s="376">
        <v>314.45</v>
      </c>
      <c r="N83" s="377">
        <f t="shared" si="4"/>
        <v>0.67647999999999997</v>
      </c>
      <c r="O83" s="377">
        <f t="shared" si="4"/>
        <v>0.31504000000000004</v>
      </c>
      <c r="P83" s="3"/>
    </row>
    <row r="84" spans="1:16" ht="15" thickBot="1" x14ac:dyDescent="0.35">
      <c r="A84" s="720"/>
      <c r="B84" s="724"/>
      <c r="C84" s="724"/>
      <c r="D84" s="724"/>
      <c r="E84" s="370" t="s">
        <v>16</v>
      </c>
      <c r="F84" s="371"/>
      <c r="G84" s="372">
        <v>359.54</v>
      </c>
      <c r="H84" s="372">
        <v>315.04000000000002</v>
      </c>
      <c r="I84" s="373">
        <f t="shared" si="2"/>
        <v>333.89000000000004</v>
      </c>
      <c r="J84" s="374">
        <f t="shared" si="3"/>
        <v>359.67</v>
      </c>
      <c r="K84" s="375"/>
      <c r="L84" s="375">
        <v>334.8</v>
      </c>
      <c r="M84" s="376">
        <v>314.45</v>
      </c>
      <c r="N84" s="377">
        <f t="shared" si="4"/>
        <v>0.35954000000000003</v>
      </c>
      <c r="O84" s="377">
        <f t="shared" si="4"/>
        <v>0.31504000000000004</v>
      </c>
      <c r="P84" s="3"/>
    </row>
    <row r="85" spans="1:16" ht="41.4" thickBot="1" x14ac:dyDescent="0.35">
      <c r="A85" s="721"/>
      <c r="B85" s="20" t="s">
        <v>17</v>
      </c>
      <c r="C85" s="20" t="s">
        <v>23</v>
      </c>
      <c r="D85" s="20" t="s">
        <v>85</v>
      </c>
      <c r="E85" s="370" t="s">
        <v>19</v>
      </c>
      <c r="F85" s="371"/>
      <c r="G85" s="372">
        <v>456.67</v>
      </c>
      <c r="H85" s="372">
        <v>330.03</v>
      </c>
      <c r="I85" s="373">
        <f t="shared" si="2"/>
        <v>348.88</v>
      </c>
      <c r="J85" s="374">
        <f t="shared" si="3"/>
        <v>374.65999999999997</v>
      </c>
      <c r="K85" s="375"/>
      <c r="L85" s="375">
        <v>430.67</v>
      </c>
      <c r="M85" s="376">
        <v>328.92</v>
      </c>
      <c r="N85" s="377">
        <f t="shared" si="4"/>
        <v>0.45667000000000002</v>
      </c>
      <c r="O85" s="377">
        <f t="shared" si="4"/>
        <v>0.33002999999999999</v>
      </c>
      <c r="P85" s="3"/>
    </row>
    <row r="86" spans="1:16" ht="15" thickBot="1" x14ac:dyDescent="0.35">
      <c r="A86" s="719" t="s">
        <v>24</v>
      </c>
      <c r="B86" s="722" t="s">
        <v>22</v>
      </c>
      <c r="C86" s="722" t="s">
        <v>19</v>
      </c>
      <c r="D86" s="722" t="s">
        <v>19</v>
      </c>
      <c r="E86" s="370" t="s">
        <v>14</v>
      </c>
      <c r="F86" s="371"/>
      <c r="G86" s="372">
        <v>1044.55</v>
      </c>
      <c r="H86" s="372">
        <v>494.84</v>
      </c>
      <c r="I86" s="373">
        <f t="shared" si="2"/>
        <v>513.68999999999994</v>
      </c>
      <c r="J86" s="374">
        <f t="shared" si="3"/>
        <v>539.47</v>
      </c>
      <c r="K86" s="375"/>
      <c r="L86" s="375">
        <v>1010.95</v>
      </c>
      <c r="M86" s="376">
        <v>488.06</v>
      </c>
      <c r="N86" s="377">
        <f t="shared" si="4"/>
        <v>1.0445499999999999</v>
      </c>
      <c r="O86" s="377">
        <f t="shared" si="4"/>
        <v>0.49484</v>
      </c>
      <c r="P86" s="3"/>
    </row>
    <row r="87" spans="1:16" ht="15" thickBot="1" x14ac:dyDescent="0.35">
      <c r="A87" s="720"/>
      <c r="B87" s="723"/>
      <c r="C87" s="723"/>
      <c r="D87" s="723"/>
      <c r="E87" s="370" t="s">
        <v>15</v>
      </c>
      <c r="F87" s="371"/>
      <c r="G87" s="372">
        <v>707.16</v>
      </c>
      <c r="H87" s="372">
        <v>315.04000000000002</v>
      </c>
      <c r="I87" s="373">
        <f t="shared" si="2"/>
        <v>333.89000000000004</v>
      </c>
      <c r="J87" s="374">
        <f t="shared" si="3"/>
        <v>359.67</v>
      </c>
      <c r="K87" s="375"/>
      <c r="L87" s="375">
        <v>677.92</v>
      </c>
      <c r="M87" s="376">
        <v>314.45</v>
      </c>
      <c r="N87" s="377">
        <f t="shared" si="4"/>
        <v>0.70716000000000001</v>
      </c>
      <c r="O87" s="377">
        <f t="shared" si="4"/>
        <v>0.31504000000000004</v>
      </c>
      <c r="P87" s="3"/>
    </row>
    <row r="88" spans="1:16" ht="15" thickBot="1" x14ac:dyDescent="0.35">
      <c r="A88" s="720"/>
      <c r="B88" s="724"/>
      <c r="C88" s="724"/>
      <c r="D88" s="724"/>
      <c r="E88" s="370" t="s">
        <v>16</v>
      </c>
      <c r="F88" s="371"/>
      <c r="G88" s="372">
        <v>369.76</v>
      </c>
      <c r="H88" s="372">
        <v>315.04000000000002</v>
      </c>
      <c r="I88" s="373">
        <f t="shared" si="2"/>
        <v>333.89000000000004</v>
      </c>
      <c r="J88" s="374">
        <f t="shared" si="3"/>
        <v>359.67</v>
      </c>
      <c r="K88" s="375"/>
      <c r="L88" s="375">
        <v>344.89</v>
      </c>
      <c r="M88" s="376">
        <v>314.45</v>
      </c>
      <c r="N88" s="377">
        <f t="shared" si="4"/>
        <v>0.36975999999999998</v>
      </c>
      <c r="O88" s="377">
        <f t="shared" si="4"/>
        <v>0.31504000000000004</v>
      </c>
      <c r="P88" s="3"/>
    </row>
    <row r="89" spans="1:16" ht="21" thickBot="1" x14ac:dyDescent="0.35">
      <c r="A89" s="721"/>
      <c r="B89" s="20" t="s">
        <v>17</v>
      </c>
      <c r="C89" s="20" t="s">
        <v>19</v>
      </c>
      <c r="D89" s="20" t="s">
        <v>19</v>
      </c>
      <c r="E89" s="370" t="s">
        <v>19</v>
      </c>
      <c r="F89" s="371"/>
      <c r="G89" s="372">
        <v>456.67</v>
      </c>
      <c r="H89" s="372">
        <v>330.03</v>
      </c>
      <c r="I89" s="373">
        <f t="shared" si="2"/>
        <v>348.88</v>
      </c>
      <c r="J89" s="374">
        <f t="shared" si="3"/>
        <v>374.65999999999997</v>
      </c>
      <c r="K89" s="375"/>
      <c r="L89" s="375">
        <v>430.67</v>
      </c>
      <c r="M89" s="376">
        <v>328.92</v>
      </c>
      <c r="N89" s="377">
        <f t="shared" si="4"/>
        <v>0.45667000000000002</v>
      </c>
      <c r="O89" s="377">
        <f t="shared" si="4"/>
        <v>0.33002999999999999</v>
      </c>
      <c r="P89" s="3"/>
    </row>
    <row r="90" spans="1:16" ht="21" thickBot="1" x14ac:dyDescent="0.35">
      <c r="A90" s="719" t="s">
        <v>26</v>
      </c>
      <c r="B90" s="722" t="s">
        <v>17</v>
      </c>
      <c r="C90" s="722" t="s">
        <v>86</v>
      </c>
      <c r="D90" s="20" t="s">
        <v>87</v>
      </c>
      <c r="E90" s="370" t="s">
        <v>19</v>
      </c>
      <c r="F90" s="371"/>
      <c r="G90" s="372">
        <v>251.17</v>
      </c>
      <c r="H90" s="372">
        <v>181.52</v>
      </c>
      <c r="I90" s="373">
        <f t="shared" si="2"/>
        <v>200.37</v>
      </c>
      <c r="J90" s="374">
        <f t="shared" si="3"/>
        <v>226.15</v>
      </c>
      <c r="K90" s="375"/>
      <c r="L90" s="375">
        <v>236.87</v>
      </c>
      <c r="M90" s="376">
        <v>180.91</v>
      </c>
      <c r="N90" s="377">
        <f t="shared" si="4"/>
        <v>0.25117</v>
      </c>
      <c r="O90" s="377">
        <f t="shared" si="4"/>
        <v>0.18152000000000001</v>
      </c>
      <c r="P90" s="3"/>
    </row>
    <row r="91" spans="1:16" ht="21" thickBot="1" x14ac:dyDescent="0.35">
      <c r="A91" s="721"/>
      <c r="B91" s="724"/>
      <c r="C91" s="724"/>
      <c r="D91" s="20" t="s">
        <v>88</v>
      </c>
      <c r="E91" s="370" t="s">
        <v>19</v>
      </c>
      <c r="F91" s="371"/>
      <c r="G91" s="372">
        <v>274</v>
      </c>
      <c r="H91" s="372">
        <v>198.02</v>
      </c>
      <c r="I91" s="373">
        <f t="shared" si="2"/>
        <v>216.87</v>
      </c>
      <c r="J91" s="374">
        <f t="shared" si="3"/>
        <v>242.65</v>
      </c>
      <c r="K91" s="375"/>
      <c r="L91" s="375">
        <v>258.39999999999998</v>
      </c>
      <c r="M91" s="376">
        <v>197.35</v>
      </c>
      <c r="N91" s="377">
        <f t="shared" si="4"/>
        <v>0.27400000000000002</v>
      </c>
      <c r="O91" s="377">
        <f t="shared" si="4"/>
        <v>0.19802</v>
      </c>
      <c r="P91" s="3"/>
    </row>
    <row r="92" spans="1:16" ht="15" thickBot="1" x14ac:dyDescent="0.35">
      <c r="N92" s="359"/>
    </row>
    <row r="93" spans="1:16" ht="15" thickBot="1" x14ac:dyDescent="0.35">
      <c r="A93" s="704" t="s">
        <v>89</v>
      </c>
      <c r="B93" s="705"/>
      <c r="C93" s="705"/>
      <c r="D93" s="705"/>
      <c r="E93" s="705"/>
      <c r="F93" s="705"/>
      <c r="G93" s="705"/>
      <c r="H93" s="705"/>
      <c r="I93" s="705"/>
      <c r="J93" s="705"/>
      <c r="K93" s="705"/>
      <c r="L93" s="705"/>
      <c r="M93" s="706"/>
      <c r="N93" s="359"/>
    </row>
    <row r="94" spans="1:16" ht="21" thickBot="1" x14ac:dyDescent="0.35">
      <c r="A94" s="379"/>
      <c r="B94" s="380" t="s">
        <v>90</v>
      </c>
      <c r="C94" s="380" t="s">
        <v>91</v>
      </c>
      <c r="D94" s="380" t="s">
        <v>92</v>
      </c>
      <c r="E94" s="664" t="s">
        <v>93</v>
      </c>
      <c r="F94" s="665"/>
      <c r="G94" s="665"/>
      <c r="H94" s="665"/>
      <c r="I94" s="666"/>
      <c r="J94" s="707" t="s">
        <v>94</v>
      </c>
      <c r="K94" s="708"/>
      <c r="L94" s="708"/>
      <c r="M94" s="709"/>
      <c r="N94" s="359"/>
    </row>
    <row r="95" spans="1:16" ht="15" thickBot="1" x14ac:dyDescent="0.35">
      <c r="A95" s="381" t="s">
        <v>95</v>
      </c>
      <c r="B95" s="382"/>
      <c r="C95" s="382"/>
      <c r="D95" s="382"/>
      <c r="E95" s="688" t="s">
        <v>96</v>
      </c>
      <c r="F95" s="699"/>
      <c r="G95" s="699"/>
      <c r="H95" s="699"/>
      <c r="I95" s="700"/>
      <c r="J95" s="688" t="s">
        <v>97</v>
      </c>
      <c r="K95" s="689"/>
      <c r="L95" s="689"/>
      <c r="M95" s="690"/>
      <c r="N95" s="359"/>
    </row>
    <row r="96" spans="1:16" ht="15" thickBot="1" x14ac:dyDescent="0.35">
      <c r="A96" s="383" t="s">
        <v>98</v>
      </c>
      <c r="B96" s="382"/>
      <c r="C96" s="382">
        <f>G$73-(G$73*65%)</f>
        <v>105.28</v>
      </c>
      <c r="D96" s="382">
        <f>H$73-(H$73*65%)</f>
        <v>106.66249999999999</v>
      </c>
      <c r="E96" s="710"/>
      <c r="F96" s="711"/>
      <c r="G96" s="711"/>
      <c r="H96" s="711"/>
      <c r="I96" s="712"/>
      <c r="J96" s="691"/>
      <c r="K96" s="692"/>
      <c r="L96" s="692"/>
      <c r="M96" s="693"/>
      <c r="N96" s="359"/>
    </row>
    <row r="97" spans="1:19" ht="15" thickBot="1" x14ac:dyDescent="0.35">
      <c r="A97" s="383" t="s">
        <v>99</v>
      </c>
      <c r="B97" s="382"/>
      <c r="C97" s="382">
        <f>G$73-(G$73*40%)</f>
        <v>180.48000000000002</v>
      </c>
      <c r="D97" s="382">
        <f>H$73-(H$73*40%)</f>
        <v>182.85</v>
      </c>
      <c r="E97" s="710"/>
      <c r="F97" s="711"/>
      <c r="G97" s="711"/>
      <c r="H97" s="711"/>
      <c r="I97" s="712"/>
      <c r="J97" s="691"/>
      <c r="K97" s="692"/>
      <c r="L97" s="692"/>
      <c r="M97" s="693"/>
      <c r="N97" s="359"/>
    </row>
    <row r="98" spans="1:19" ht="15" thickBot="1" x14ac:dyDescent="0.35">
      <c r="A98" s="383" t="s">
        <v>100</v>
      </c>
      <c r="B98" s="382"/>
      <c r="C98" s="382">
        <f>G$73-(G$73*10%)</f>
        <v>270.72000000000003</v>
      </c>
      <c r="D98" s="382">
        <f>H$73-(H$73*10%)</f>
        <v>274.27499999999998</v>
      </c>
      <c r="E98" s="710"/>
      <c r="F98" s="711"/>
      <c r="G98" s="711"/>
      <c r="H98" s="711"/>
      <c r="I98" s="712"/>
      <c r="J98" s="691"/>
      <c r="K98" s="692"/>
      <c r="L98" s="692"/>
      <c r="M98" s="693"/>
      <c r="N98" s="359"/>
    </row>
    <row r="99" spans="1:19" ht="15" thickBot="1" x14ac:dyDescent="0.35">
      <c r="A99" s="383" t="s">
        <v>101</v>
      </c>
      <c r="B99" s="382"/>
      <c r="C99" s="382">
        <f>G73</f>
        <v>300.8</v>
      </c>
      <c r="D99" s="382">
        <f>H73</f>
        <v>304.75</v>
      </c>
      <c r="E99" s="701"/>
      <c r="F99" s="702"/>
      <c r="G99" s="702"/>
      <c r="H99" s="702"/>
      <c r="I99" s="703"/>
      <c r="J99" s="694"/>
      <c r="K99" s="695"/>
      <c r="L99" s="695"/>
      <c r="M99" s="696"/>
      <c r="N99" s="359"/>
    </row>
    <row r="100" spans="1:19" ht="15" thickBot="1" x14ac:dyDescent="0.35">
      <c r="A100" s="384" t="s">
        <v>102</v>
      </c>
      <c r="B100" s="382">
        <v>0</v>
      </c>
      <c r="C100" s="382">
        <v>0</v>
      </c>
      <c r="D100" s="382">
        <v>0</v>
      </c>
      <c r="E100" s="688" t="s">
        <v>103</v>
      </c>
      <c r="F100" s="699"/>
      <c r="G100" s="699"/>
      <c r="H100" s="699"/>
      <c r="I100" s="700"/>
      <c r="J100" s="713" t="s">
        <v>104</v>
      </c>
      <c r="K100" s="714"/>
      <c r="L100" s="714"/>
      <c r="M100" s="715"/>
      <c r="N100" s="359"/>
      <c r="R100" s="385"/>
      <c r="S100" s="385"/>
    </row>
    <row r="101" spans="1:19" ht="15" thickBot="1" x14ac:dyDescent="0.35">
      <c r="A101" s="383" t="s">
        <v>105</v>
      </c>
      <c r="B101" s="382">
        <v>0</v>
      </c>
      <c r="C101" s="382">
        <v>0</v>
      </c>
      <c r="D101" s="382">
        <v>0</v>
      </c>
      <c r="E101" s="701"/>
      <c r="F101" s="702"/>
      <c r="G101" s="702"/>
      <c r="H101" s="702"/>
      <c r="I101" s="703"/>
      <c r="J101" s="716"/>
      <c r="K101" s="717"/>
      <c r="L101" s="717"/>
      <c r="M101" s="718"/>
      <c r="N101" s="359"/>
    </row>
    <row r="102" spans="1:19" ht="15" thickBot="1" x14ac:dyDescent="0.35">
      <c r="A102" s="383" t="s">
        <v>106</v>
      </c>
      <c r="B102" s="382"/>
      <c r="C102" s="382">
        <v>0</v>
      </c>
      <c r="D102" s="382">
        <v>0</v>
      </c>
      <c r="E102" s="679" t="s">
        <v>107</v>
      </c>
      <c r="F102" s="680"/>
      <c r="G102" s="680"/>
      <c r="H102" s="680"/>
      <c r="I102" s="681"/>
      <c r="J102" s="682" t="s">
        <v>108</v>
      </c>
      <c r="K102" s="683"/>
      <c r="L102" s="683"/>
      <c r="M102" s="684"/>
      <c r="N102" s="359"/>
      <c r="R102" s="3"/>
    </row>
    <row r="103" spans="1:19" ht="15" thickBot="1" x14ac:dyDescent="0.35">
      <c r="A103" s="386" t="s">
        <v>109</v>
      </c>
      <c r="B103" s="382"/>
      <c r="C103" s="382"/>
      <c r="D103" s="382"/>
      <c r="E103" s="685" t="s">
        <v>110</v>
      </c>
      <c r="F103" s="686"/>
      <c r="G103" s="686"/>
      <c r="H103" s="686"/>
      <c r="I103" s="687"/>
      <c r="J103" s="688" t="s">
        <v>111</v>
      </c>
      <c r="K103" s="689"/>
      <c r="L103" s="689"/>
      <c r="M103" s="690"/>
      <c r="N103" s="359"/>
      <c r="R103" s="3"/>
    </row>
    <row r="104" spans="1:19" ht="15" thickBot="1" x14ac:dyDescent="0.35">
      <c r="A104" s="697" t="s">
        <v>112</v>
      </c>
      <c r="B104" s="382"/>
      <c r="C104" s="382"/>
      <c r="D104" s="382"/>
      <c r="E104" s="688" t="s">
        <v>113</v>
      </c>
      <c r="F104" s="699"/>
      <c r="G104" s="699"/>
      <c r="H104" s="699"/>
      <c r="I104" s="700"/>
      <c r="J104" s="691"/>
      <c r="K104" s="692"/>
      <c r="L104" s="692"/>
      <c r="M104" s="693"/>
      <c r="N104" s="359"/>
    </row>
    <row r="105" spans="1:19" ht="15" thickBot="1" x14ac:dyDescent="0.35">
      <c r="A105" s="698"/>
      <c r="B105" s="382"/>
      <c r="C105" s="382"/>
      <c r="D105" s="382"/>
      <c r="E105" s="701"/>
      <c r="F105" s="702"/>
      <c r="G105" s="702"/>
      <c r="H105" s="702"/>
      <c r="I105" s="703"/>
      <c r="J105" s="694"/>
      <c r="K105" s="695"/>
      <c r="L105" s="695"/>
      <c r="M105" s="696"/>
      <c r="N105" s="359"/>
    </row>
    <row r="106" spans="1:19" x14ac:dyDescent="0.3">
      <c r="A106" s="387"/>
      <c r="B106" s="387"/>
      <c r="C106" s="387"/>
      <c r="D106" s="387"/>
      <c r="E106" s="388"/>
      <c r="F106" s="388"/>
      <c r="G106" s="388"/>
      <c r="H106" s="388"/>
      <c r="I106" s="388"/>
      <c r="J106" s="387"/>
      <c r="K106" s="387"/>
      <c r="L106" s="387"/>
      <c r="M106" s="387"/>
      <c r="N106" s="359"/>
    </row>
    <row r="107" spans="1:19" ht="15" thickBot="1" x14ac:dyDescent="0.35">
      <c r="N107" s="359"/>
    </row>
    <row r="108" spans="1:19" ht="15" thickBot="1" x14ac:dyDescent="0.35">
      <c r="A108" s="667" t="s">
        <v>114</v>
      </c>
      <c r="B108" s="668"/>
      <c r="C108" s="668"/>
      <c r="D108" s="668"/>
      <c r="E108" s="668"/>
      <c r="F108" s="668"/>
      <c r="G108" s="668"/>
      <c r="H108" s="668"/>
      <c r="I108" s="668"/>
      <c r="J108" s="668"/>
      <c r="K108" s="668"/>
      <c r="L108" s="668"/>
      <c r="M108" s="669"/>
      <c r="N108" s="359"/>
    </row>
    <row r="109" spans="1:19" ht="15" thickBot="1" x14ac:dyDescent="0.35">
      <c r="A109" s="670" t="s">
        <v>115</v>
      </c>
      <c r="B109" s="671"/>
      <c r="C109" s="671"/>
      <c r="D109" s="671"/>
      <c r="E109" s="671"/>
      <c r="F109" s="671"/>
      <c r="G109" s="671"/>
      <c r="H109" s="671"/>
      <c r="I109" s="671"/>
      <c r="J109" s="671"/>
      <c r="K109" s="671"/>
      <c r="L109" s="671"/>
      <c r="M109" s="672"/>
      <c r="N109" s="359"/>
    </row>
    <row r="110" spans="1:19" ht="15" thickBot="1" x14ac:dyDescent="0.35">
      <c r="A110" s="673"/>
      <c r="B110" s="674"/>
      <c r="C110" s="674"/>
      <c r="D110" s="675"/>
      <c r="E110" s="673" t="s">
        <v>116</v>
      </c>
      <c r="F110" s="674"/>
      <c r="G110" s="674"/>
      <c r="H110" s="674"/>
      <c r="I110" s="674"/>
      <c r="J110" s="675"/>
      <c r="K110" s="676" t="s">
        <v>117</v>
      </c>
      <c r="L110" s="677"/>
      <c r="M110" s="678"/>
      <c r="N110" s="359"/>
    </row>
    <row r="111" spans="1:19" s="1" customFormat="1" ht="15" thickBot="1" x14ac:dyDescent="0.35">
      <c r="A111" s="389" t="s">
        <v>118</v>
      </c>
      <c r="B111" s="390"/>
      <c r="C111" s="391"/>
      <c r="D111" s="392"/>
      <c r="E111" s="392"/>
      <c r="F111" s="655" t="s">
        <v>119</v>
      </c>
      <c r="G111" s="655"/>
      <c r="H111" s="390"/>
      <c r="I111" s="390"/>
      <c r="J111" s="393"/>
      <c r="K111" s="656"/>
      <c r="L111" s="657"/>
      <c r="M111" s="658"/>
      <c r="N111" s="359"/>
      <c r="O111" s="2"/>
    </row>
    <row r="112" spans="1:19" ht="15" thickBot="1" x14ac:dyDescent="0.35">
      <c r="A112" s="389" t="s">
        <v>120</v>
      </c>
      <c r="B112" s="390"/>
      <c r="C112" s="391"/>
      <c r="D112" s="392"/>
      <c r="E112" s="392"/>
      <c r="F112" s="655" t="s">
        <v>119</v>
      </c>
      <c r="G112" s="655"/>
      <c r="H112" s="390"/>
      <c r="I112" s="390"/>
      <c r="J112" s="393"/>
      <c r="K112" s="656"/>
      <c r="L112" s="657"/>
      <c r="M112" s="658"/>
      <c r="N112" s="359"/>
    </row>
    <row r="113" spans="1:14" ht="15" thickBot="1" x14ac:dyDescent="0.35">
      <c r="N113" s="359"/>
    </row>
    <row r="114" spans="1:14" ht="15" thickBot="1" x14ac:dyDescent="0.35">
      <c r="A114" s="659" t="s">
        <v>121</v>
      </c>
      <c r="B114" s="660"/>
      <c r="C114" s="660"/>
      <c r="D114" s="660"/>
      <c r="E114" s="661"/>
      <c r="N114" s="359"/>
    </row>
    <row r="115" spans="1:14" ht="15" thickBot="1" x14ac:dyDescent="0.35">
      <c r="A115" s="662" t="s">
        <v>122</v>
      </c>
      <c r="B115" s="664" t="s">
        <v>123</v>
      </c>
      <c r="C115" s="665"/>
      <c r="D115" s="666"/>
      <c r="E115" s="662" t="s">
        <v>124</v>
      </c>
      <c r="N115" s="359"/>
    </row>
    <row r="116" spans="1:14" ht="15" thickBot="1" x14ac:dyDescent="0.35">
      <c r="A116" s="663"/>
      <c r="B116" s="394" t="s">
        <v>125</v>
      </c>
      <c r="C116" s="394" t="s">
        <v>126</v>
      </c>
      <c r="D116" s="394" t="s">
        <v>127</v>
      </c>
      <c r="E116" s="663"/>
      <c r="N116" s="359"/>
    </row>
    <row r="117" spans="1:14" ht="15" thickBot="1" x14ac:dyDescent="0.35">
      <c r="A117" s="395" t="s">
        <v>128</v>
      </c>
      <c r="B117" s="396">
        <v>9.93</v>
      </c>
      <c r="C117" s="396">
        <v>14.21</v>
      </c>
      <c r="D117" s="396">
        <v>28.43</v>
      </c>
      <c r="E117" s="396">
        <v>85.37</v>
      </c>
      <c r="N117" s="359"/>
    </row>
    <row r="118" spans="1:14" ht="15" thickBot="1" x14ac:dyDescent="0.35">
      <c r="A118" s="395" t="s">
        <v>129</v>
      </c>
      <c r="B118" s="396">
        <v>12.8</v>
      </c>
      <c r="C118" s="396">
        <v>21.32</v>
      </c>
      <c r="D118" s="396">
        <v>28.43</v>
      </c>
      <c r="E118" s="396">
        <v>142.31</v>
      </c>
      <c r="N118" s="359"/>
    </row>
    <row r="119" spans="1:14" ht="15" thickBot="1" x14ac:dyDescent="0.35">
      <c r="A119" s="395" t="s">
        <v>130</v>
      </c>
      <c r="B119" s="396">
        <v>12.8</v>
      </c>
      <c r="C119" s="396">
        <v>21.32</v>
      </c>
      <c r="D119" s="396">
        <v>25.6</v>
      </c>
      <c r="E119" s="396">
        <v>142.31</v>
      </c>
      <c r="N119" s="359"/>
    </row>
    <row r="120" spans="1:14" ht="15" thickBot="1" x14ac:dyDescent="0.35">
      <c r="A120" s="395" t="s">
        <v>131</v>
      </c>
      <c r="B120" s="396">
        <v>11.34</v>
      </c>
      <c r="C120" s="396">
        <v>15.63</v>
      </c>
      <c r="D120" s="396">
        <v>46.92</v>
      </c>
      <c r="E120" s="396">
        <v>142.31</v>
      </c>
      <c r="N120" s="359"/>
    </row>
    <row r="121" spans="1:14" ht="15" thickBot="1" x14ac:dyDescent="0.35">
      <c r="A121" s="395" t="s">
        <v>132</v>
      </c>
      <c r="B121" s="396">
        <v>56.9</v>
      </c>
      <c r="C121" s="396">
        <v>85.37</v>
      </c>
      <c r="D121" s="396">
        <v>142.31</v>
      </c>
      <c r="E121" s="396">
        <v>284.63</v>
      </c>
      <c r="N121" s="359"/>
    </row>
    <row r="122" spans="1:14" ht="15" thickBot="1" x14ac:dyDescent="0.35">
      <c r="A122" s="395" t="s">
        <v>133</v>
      </c>
      <c r="B122" s="396">
        <v>4.24</v>
      </c>
      <c r="C122" s="396">
        <v>4.24</v>
      </c>
      <c r="D122" s="396">
        <v>4.24</v>
      </c>
      <c r="E122" s="396">
        <v>8.52</v>
      </c>
      <c r="N122" s="359"/>
    </row>
    <row r="123" spans="1:14" ht="15" thickBot="1" x14ac:dyDescent="0.35">
      <c r="A123" s="395" t="s">
        <v>134</v>
      </c>
      <c r="B123" s="396">
        <v>4.24</v>
      </c>
      <c r="C123" s="396">
        <v>4.24</v>
      </c>
      <c r="D123" s="396">
        <v>4.24</v>
      </c>
      <c r="E123" s="396">
        <v>8.52</v>
      </c>
      <c r="N123" s="359"/>
    </row>
    <row r="124" spans="1:14" ht="15" thickBot="1" x14ac:dyDescent="0.35">
      <c r="A124" s="395" t="s">
        <v>135</v>
      </c>
      <c r="B124" s="396">
        <v>9.93</v>
      </c>
      <c r="C124" s="396">
        <v>14.21</v>
      </c>
      <c r="D124" s="396">
        <v>28.43</v>
      </c>
      <c r="E124" s="396">
        <v>85.37</v>
      </c>
      <c r="N124" s="359"/>
    </row>
    <row r="125" spans="1:14" ht="15" thickBot="1" x14ac:dyDescent="0.35">
      <c r="A125" s="395" t="s">
        <v>136</v>
      </c>
      <c r="B125" s="396">
        <v>56.9</v>
      </c>
      <c r="C125" s="396">
        <v>85.37</v>
      </c>
      <c r="D125" s="396">
        <v>142.31</v>
      </c>
      <c r="E125" s="396">
        <v>284.63</v>
      </c>
      <c r="N125" s="359"/>
    </row>
    <row r="126" spans="1:14" ht="15" thickBot="1" x14ac:dyDescent="0.35">
      <c r="A126" s="395" t="s">
        <v>137</v>
      </c>
      <c r="B126" s="396">
        <v>56.9</v>
      </c>
      <c r="C126" s="396">
        <v>85.37</v>
      </c>
      <c r="D126" s="396">
        <v>142.31</v>
      </c>
      <c r="E126" s="396">
        <v>284.63</v>
      </c>
      <c r="N126" s="359"/>
    </row>
    <row r="127" spans="1:14" ht="15" thickBot="1" x14ac:dyDescent="0.35">
      <c r="A127" s="395" t="s">
        <v>138</v>
      </c>
      <c r="B127" s="396">
        <v>9.93</v>
      </c>
      <c r="C127" s="396">
        <v>14.21</v>
      </c>
      <c r="D127" s="396">
        <v>28.43</v>
      </c>
      <c r="E127" s="396">
        <v>85.37</v>
      </c>
      <c r="N127" s="359"/>
    </row>
    <row r="128" spans="1:14" ht="15" thickBot="1" x14ac:dyDescent="0.35">
      <c r="A128" s="395" t="s">
        <v>139</v>
      </c>
      <c r="B128" s="396">
        <v>29.8</v>
      </c>
      <c r="C128" s="396">
        <v>42.64</v>
      </c>
      <c r="D128" s="396">
        <v>85.28</v>
      </c>
      <c r="E128" s="396">
        <v>256.11</v>
      </c>
      <c r="N128" s="359"/>
    </row>
    <row r="129" spans="1:14" ht="15" thickBot="1" x14ac:dyDescent="0.35">
      <c r="A129" s="395" t="s">
        <v>140</v>
      </c>
      <c r="B129" s="397" t="s">
        <v>141</v>
      </c>
      <c r="C129" s="397" t="s">
        <v>141</v>
      </c>
      <c r="D129" s="397" t="s">
        <v>141</v>
      </c>
      <c r="E129" s="397" t="s">
        <v>141</v>
      </c>
      <c r="N129" s="359"/>
    </row>
    <row r="130" spans="1:14" ht="15" thickBot="1" x14ac:dyDescent="0.35">
      <c r="A130" s="395" t="s">
        <v>142</v>
      </c>
      <c r="B130" s="397" t="s">
        <v>141</v>
      </c>
      <c r="C130" s="397" t="s">
        <v>141</v>
      </c>
      <c r="D130" s="397" t="s">
        <v>141</v>
      </c>
      <c r="E130" s="397" t="s">
        <v>141</v>
      </c>
      <c r="N130" s="359"/>
    </row>
    <row r="131" spans="1:14" ht="15" thickBot="1" x14ac:dyDescent="0.35">
      <c r="A131" s="395" t="s">
        <v>143</v>
      </c>
      <c r="B131" s="396">
        <v>9.93</v>
      </c>
      <c r="C131" s="396">
        <v>14.21</v>
      </c>
      <c r="D131" s="396">
        <v>28.43</v>
      </c>
      <c r="E131" s="396">
        <v>85.37</v>
      </c>
      <c r="N131" s="359"/>
    </row>
    <row r="132" spans="1:14" ht="15" thickBot="1" x14ac:dyDescent="0.35">
      <c r="A132" s="395" t="s">
        <v>144</v>
      </c>
      <c r="B132" s="396">
        <v>163.76</v>
      </c>
      <c r="C132" s="396">
        <v>245.67</v>
      </c>
      <c r="D132" s="396">
        <v>409.57</v>
      </c>
      <c r="E132" s="398">
        <v>5460.55</v>
      </c>
      <c r="N132" s="359"/>
    </row>
    <row r="133" spans="1:14" ht="15" thickBot="1" x14ac:dyDescent="0.35">
      <c r="A133" s="648" t="s">
        <v>145</v>
      </c>
      <c r="B133" s="649"/>
      <c r="C133" s="649"/>
      <c r="D133" s="649"/>
      <c r="E133" s="650"/>
      <c r="N133" s="359"/>
    </row>
    <row r="134" spans="1:14" x14ac:dyDescent="0.3">
      <c r="N134" s="359"/>
    </row>
    <row r="135" spans="1:14" ht="15" thickBot="1" x14ac:dyDescent="0.35">
      <c r="A135" s="651" t="s">
        <v>146</v>
      </c>
      <c r="B135" s="652"/>
      <c r="C135" s="652"/>
      <c r="D135" s="652"/>
      <c r="E135" s="652"/>
      <c r="F135" s="652"/>
      <c r="G135" s="652"/>
      <c r="H135" s="652"/>
      <c r="I135" s="652"/>
      <c r="J135" s="652"/>
      <c r="K135" s="652"/>
      <c r="N135" s="359"/>
    </row>
    <row r="136" spans="1:14" ht="15" thickBot="1" x14ac:dyDescent="0.35">
      <c r="A136" s="399" t="s">
        <v>147</v>
      </c>
      <c r="B136" s="400" t="s">
        <v>11</v>
      </c>
      <c r="C136" s="400" t="s">
        <v>148</v>
      </c>
      <c r="D136" s="400" t="s">
        <v>149</v>
      </c>
      <c r="E136" s="400" t="s">
        <v>24</v>
      </c>
      <c r="F136" s="400" t="s">
        <v>150</v>
      </c>
      <c r="G136" s="400" t="s">
        <v>151</v>
      </c>
      <c r="H136" s="400" t="s">
        <v>152</v>
      </c>
      <c r="I136" s="400" t="s">
        <v>153</v>
      </c>
      <c r="J136" s="400" t="s">
        <v>154</v>
      </c>
      <c r="K136" s="400" t="s">
        <v>155</v>
      </c>
      <c r="N136" s="359"/>
    </row>
    <row r="137" spans="1:14" ht="15" thickBot="1" x14ac:dyDescent="0.35">
      <c r="A137" s="384" t="s">
        <v>156</v>
      </c>
      <c r="B137" s="401">
        <v>304.24333522175112</v>
      </c>
      <c r="C137" s="401">
        <v>304.24333522175112</v>
      </c>
      <c r="D137" s="401">
        <v>304.24333522175112</v>
      </c>
      <c r="E137" s="401">
        <v>304.24333522175112</v>
      </c>
      <c r="F137" s="401">
        <v>270.86577484164729</v>
      </c>
      <c r="G137" s="401">
        <v>270.86577484164729</v>
      </c>
      <c r="H137" s="401">
        <v>0</v>
      </c>
      <c r="I137" s="401">
        <v>48.641679900208167</v>
      </c>
      <c r="J137" s="401">
        <v>167.42950837674982</v>
      </c>
      <c r="K137" s="401">
        <v>182.73734914262411</v>
      </c>
      <c r="N137" s="359"/>
    </row>
    <row r="138" spans="1:14" ht="15" thickBot="1" x14ac:dyDescent="0.35">
      <c r="A138" s="383" t="s">
        <v>157</v>
      </c>
      <c r="B138" s="402">
        <v>6.36</v>
      </c>
      <c r="C138" s="402">
        <v>6.36</v>
      </c>
      <c r="D138" s="402">
        <v>6.36</v>
      </c>
      <c r="E138" s="402">
        <v>6.36</v>
      </c>
      <c r="F138" s="402">
        <v>5.6622648010917418</v>
      </c>
      <c r="G138" s="402">
        <v>5.6622648010917418</v>
      </c>
      <c r="H138" s="402">
        <v>0</v>
      </c>
      <c r="I138" s="402">
        <v>1.0168212360012512</v>
      </c>
      <c r="J138" s="402">
        <v>3.5</v>
      </c>
      <c r="K138" s="402">
        <v>3.82</v>
      </c>
      <c r="N138" s="359"/>
    </row>
    <row r="139" spans="1:14" ht="15" thickBot="1" x14ac:dyDescent="0.35">
      <c r="A139" s="403" t="s">
        <v>158</v>
      </c>
      <c r="B139" s="653">
        <v>0.11250300000000001</v>
      </c>
      <c r="C139" s="653"/>
      <c r="D139" s="653"/>
      <c r="E139" s="653"/>
      <c r="F139" s="653"/>
      <c r="G139" s="653"/>
      <c r="H139" s="653"/>
      <c r="I139" s="653"/>
      <c r="J139" s="653"/>
      <c r="K139" s="653"/>
      <c r="N139" s="359"/>
    </row>
    <row r="140" spans="1:14" ht="15" thickBot="1" x14ac:dyDescent="0.35">
      <c r="A140" s="404" t="s">
        <v>159</v>
      </c>
      <c r="B140" s="653">
        <v>0.34</v>
      </c>
      <c r="C140" s="653"/>
      <c r="D140" s="653"/>
      <c r="E140" s="653"/>
      <c r="F140" s="653"/>
      <c r="G140" s="653"/>
      <c r="H140" s="653"/>
      <c r="I140" s="653"/>
      <c r="J140" s="653"/>
      <c r="K140" s="653"/>
      <c r="N140" s="359"/>
    </row>
    <row r="141" spans="1:14" ht="15" thickBot="1" x14ac:dyDescent="0.35">
      <c r="A141" s="403" t="s">
        <v>160</v>
      </c>
      <c r="B141" s="654">
        <v>1787349887.83146</v>
      </c>
      <c r="C141" s="654"/>
      <c r="D141" s="654"/>
      <c r="E141" s="654"/>
      <c r="F141" s="654"/>
      <c r="G141" s="654"/>
      <c r="H141" s="654"/>
      <c r="I141" s="654"/>
      <c r="J141" s="654"/>
      <c r="K141" s="654"/>
      <c r="N141" s="359"/>
    </row>
    <row r="142" spans="1:14" ht="15" thickBot="1" x14ac:dyDescent="0.35">
      <c r="A142" s="403" t="s">
        <v>161</v>
      </c>
      <c r="B142" s="653">
        <v>4.3900000000000002E-2</v>
      </c>
      <c r="C142" s="653"/>
      <c r="D142" s="653"/>
      <c r="E142" s="653"/>
      <c r="F142" s="653"/>
      <c r="G142" s="653"/>
      <c r="H142" s="653"/>
      <c r="I142" s="653"/>
      <c r="J142" s="653"/>
      <c r="K142" s="653"/>
      <c r="N142" s="359"/>
    </row>
    <row r="143" spans="1:14" ht="15" thickBot="1" x14ac:dyDescent="0.35">
      <c r="A143" s="403" t="s">
        <v>162</v>
      </c>
      <c r="B143" s="635">
        <v>908244772.36340415</v>
      </c>
      <c r="C143" s="635"/>
      <c r="D143" s="635"/>
      <c r="E143" s="635"/>
      <c r="F143" s="635"/>
      <c r="G143" s="635"/>
      <c r="H143" s="635"/>
      <c r="I143" s="635"/>
      <c r="J143" s="635"/>
      <c r="K143" s="635"/>
      <c r="N143" s="359"/>
    </row>
    <row r="144" spans="1:14" ht="15" thickBot="1" x14ac:dyDescent="0.35">
      <c r="N144" s="359"/>
    </row>
    <row r="145" spans="1:14" ht="30.75" customHeight="1" thickBot="1" x14ac:dyDescent="0.35">
      <c r="A145" s="636" t="s">
        <v>163</v>
      </c>
      <c r="B145" s="637"/>
      <c r="C145" s="637"/>
      <c r="D145" s="637"/>
      <c r="E145" s="638"/>
      <c r="N145" s="359"/>
    </row>
    <row r="146" spans="1:14" ht="15" thickBot="1" x14ac:dyDescent="0.35">
      <c r="A146" s="399" t="s">
        <v>147</v>
      </c>
      <c r="B146" s="400" t="s">
        <v>150</v>
      </c>
      <c r="C146" s="400" t="s">
        <v>151</v>
      </c>
      <c r="D146" s="400" t="s">
        <v>152</v>
      </c>
      <c r="E146" s="400" t="s">
        <v>153</v>
      </c>
      <c r="N146" s="359"/>
    </row>
    <row r="147" spans="1:14" ht="15" thickBot="1" x14ac:dyDescent="0.35">
      <c r="A147" s="384" t="s">
        <v>164</v>
      </c>
      <c r="B147" s="405"/>
      <c r="C147" s="405"/>
      <c r="D147" s="406"/>
      <c r="E147" s="405"/>
      <c r="N147" s="359"/>
    </row>
    <row r="148" spans="1:14" ht="15" thickBot="1" x14ac:dyDescent="0.35">
      <c r="A148" s="383" t="s">
        <v>157</v>
      </c>
      <c r="B148" s="405"/>
      <c r="C148" s="405"/>
      <c r="D148" s="406"/>
      <c r="E148" s="405"/>
      <c r="N148" s="359"/>
    </row>
    <row r="149" spans="1:14" ht="15" thickBot="1" x14ac:dyDescent="0.35">
      <c r="A149" s="384" t="s">
        <v>158</v>
      </c>
      <c r="B149" s="639"/>
      <c r="C149" s="640"/>
      <c r="D149" s="640"/>
      <c r="E149" s="641"/>
      <c r="N149" s="359"/>
    </row>
    <row r="150" spans="1:14" ht="15" thickBot="1" x14ac:dyDescent="0.35">
      <c r="A150" s="384" t="s">
        <v>160</v>
      </c>
      <c r="B150" s="642"/>
      <c r="C150" s="643"/>
      <c r="D150" s="643"/>
      <c r="E150" s="644"/>
      <c r="N150" s="359"/>
    </row>
    <row r="151" spans="1:14" ht="15" thickBot="1" x14ac:dyDescent="0.35">
      <c r="A151" s="384" t="s">
        <v>165</v>
      </c>
      <c r="B151" s="645"/>
      <c r="C151" s="646"/>
      <c r="D151" s="646"/>
      <c r="E151" s="647"/>
      <c r="N151" s="359"/>
    </row>
    <row r="152" spans="1:14" ht="15" thickBot="1" x14ac:dyDescent="0.35">
      <c r="A152" s="407" t="s">
        <v>166</v>
      </c>
      <c r="B152" s="639"/>
      <c r="C152" s="640"/>
      <c r="D152" s="640"/>
      <c r="E152" s="641"/>
      <c r="N152" s="359"/>
    </row>
    <row r="153" spans="1:14" ht="15" thickBot="1" x14ac:dyDescent="0.35">
      <c r="N153" s="359"/>
    </row>
    <row r="154" spans="1:14" ht="15" thickBot="1" x14ac:dyDescent="0.35">
      <c r="A154" s="626" t="s">
        <v>167</v>
      </c>
      <c r="B154" s="627"/>
      <c r="C154" s="627"/>
      <c r="D154" s="627"/>
      <c r="E154" s="628"/>
      <c r="F154" s="8" t="s">
        <v>168</v>
      </c>
      <c r="N154" s="359"/>
    </row>
    <row r="155" spans="1:14" ht="15" thickBot="1" x14ac:dyDescent="0.35">
      <c r="A155" s="408" t="s">
        <v>169</v>
      </c>
      <c r="B155" s="629" t="s">
        <v>170</v>
      </c>
      <c r="C155" s="630"/>
      <c r="D155" s="630"/>
      <c r="E155" s="631"/>
      <c r="F155" s="8" t="s">
        <v>168</v>
      </c>
      <c r="N155" s="359"/>
    </row>
    <row r="156" spans="1:14" ht="15" thickBot="1" x14ac:dyDescent="0.35">
      <c r="A156" s="409" t="s">
        <v>171</v>
      </c>
      <c r="B156" s="632"/>
      <c r="C156" s="633"/>
      <c r="D156" s="633"/>
      <c r="E156" s="634"/>
      <c r="F156" s="8" t="s">
        <v>168</v>
      </c>
      <c r="N156" s="359"/>
    </row>
    <row r="157" spans="1:14" ht="15" thickBot="1" x14ac:dyDescent="0.35">
      <c r="A157" s="409" t="s">
        <v>172</v>
      </c>
      <c r="B157" s="620"/>
      <c r="C157" s="621"/>
      <c r="D157" s="621"/>
      <c r="E157" s="622"/>
      <c r="F157" s="8" t="s">
        <v>168</v>
      </c>
      <c r="N157" s="359"/>
    </row>
    <row r="158" spans="1:14" ht="15" thickBot="1" x14ac:dyDescent="0.35">
      <c r="A158" s="409" t="s">
        <v>173</v>
      </c>
      <c r="B158" s="620"/>
      <c r="C158" s="621"/>
      <c r="D158" s="621"/>
      <c r="E158" s="622"/>
      <c r="F158" s="8" t="s">
        <v>168</v>
      </c>
      <c r="N158" s="359"/>
    </row>
    <row r="159" spans="1:14" ht="15" thickBot="1" x14ac:dyDescent="0.35">
      <c r="A159" s="409" t="s">
        <v>174</v>
      </c>
      <c r="B159" s="620"/>
      <c r="C159" s="621"/>
      <c r="D159" s="621"/>
      <c r="E159" s="622"/>
      <c r="F159" s="8" t="s">
        <v>168</v>
      </c>
      <c r="N159" s="359"/>
    </row>
    <row r="160" spans="1:14" ht="15" thickBot="1" x14ac:dyDescent="0.35">
      <c r="A160" s="409" t="s">
        <v>175</v>
      </c>
      <c r="B160" s="620"/>
      <c r="C160" s="621"/>
      <c r="D160" s="621"/>
      <c r="E160" s="622"/>
      <c r="F160" s="8" t="s">
        <v>168</v>
      </c>
      <c r="N160" s="359"/>
    </row>
    <row r="161" spans="1:14" ht="15" thickBot="1" x14ac:dyDescent="0.35">
      <c r="A161" s="409" t="s">
        <v>176</v>
      </c>
      <c r="B161" s="620"/>
      <c r="C161" s="621"/>
      <c r="D161" s="621"/>
      <c r="E161" s="622"/>
      <c r="F161" s="8" t="s">
        <v>168</v>
      </c>
      <c r="N161" s="359"/>
    </row>
    <row r="162" spans="1:14" ht="15" thickBot="1" x14ac:dyDescent="0.35">
      <c r="A162" s="409" t="s">
        <v>177</v>
      </c>
      <c r="B162" s="620"/>
      <c r="C162" s="621"/>
      <c r="D162" s="621"/>
      <c r="E162" s="622"/>
      <c r="F162" s="8" t="s">
        <v>168</v>
      </c>
      <c r="N162" s="359"/>
    </row>
    <row r="163" spans="1:14" ht="15" thickBot="1" x14ac:dyDescent="0.35">
      <c r="N163" s="359"/>
    </row>
    <row r="164" spans="1:14" ht="15" thickBot="1" x14ac:dyDescent="0.35">
      <c r="A164" s="623" t="s">
        <v>178</v>
      </c>
      <c r="B164" s="624"/>
      <c r="C164" s="624"/>
      <c r="D164" s="624"/>
      <c r="E164" s="625"/>
      <c r="F164" s="8" t="s">
        <v>168</v>
      </c>
      <c r="N164" s="359"/>
    </row>
    <row r="165" spans="1:14" ht="15" thickBot="1" x14ac:dyDescent="0.35">
      <c r="A165" s="410" t="s">
        <v>179</v>
      </c>
      <c r="B165" s="611"/>
      <c r="C165" s="612"/>
      <c r="D165" s="612"/>
      <c r="E165" s="613"/>
      <c r="F165" s="8" t="s">
        <v>168</v>
      </c>
      <c r="N165" s="359"/>
    </row>
    <row r="166" spans="1:14" ht="15" thickBot="1" x14ac:dyDescent="0.35">
      <c r="A166" s="411" t="s">
        <v>180</v>
      </c>
      <c r="B166" s="611"/>
      <c r="C166" s="612"/>
      <c r="D166" s="612"/>
      <c r="E166" s="613"/>
      <c r="F166" s="8" t="s">
        <v>168</v>
      </c>
      <c r="N166" s="359"/>
    </row>
    <row r="167" spans="1:14" ht="15" thickBot="1" x14ac:dyDescent="0.35">
      <c r="A167" s="411" t="s">
        <v>177</v>
      </c>
      <c r="B167" s="611"/>
      <c r="C167" s="612"/>
      <c r="D167" s="612"/>
      <c r="E167" s="613"/>
      <c r="F167" s="8" t="s">
        <v>168</v>
      </c>
      <c r="N167" s="359"/>
    </row>
    <row r="168" spans="1:14" x14ac:dyDescent="0.3">
      <c r="N168" s="359"/>
    </row>
    <row r="169" spans="1:14" x14ac:dyDescent="0.3">
      <c r="A169" s="412"/>
      <c r="B169" s="412"/>
      <c r="C169" s="412"/>
      <c r="D169" s="412"/>
      <c r="E169" s="412"/>
      <c r="F169" s="412"/>
      <c r="G169" s="412"/>
      <c r="H169" s="412"/>
      <c r="I169" s="412"/>
      <c r="J169" s="412"/>
      <c r="K169" s="412"/>
      <c r="L169" s="412"/>
      <c r="M169" s="412"/>
      <c r="N169" s="359"/>
    </row>
    <row r="170" spans="1:14" ht="15" thickBot="1" x14ac:dyDescent="0.35">
      <c r="A170" s="614" t="s">
        <v>181</v>
      </c>
      <c r="B170" s="614"/>
      <c r="C170" s="614"/>
      <c r="D170" s="614"/>
      <c r="E170" s="614"/>
      <c r="F170" s="614"/>
      <c r="G170" s="614"/>
      <c r="H170" s="614"/>
      <c r="I170" s="614"/>
      <c r="J170" s="614"/>
      <c r="K170" s="614"/>
      <c r="L170" s="614"/>
      <c r="M170" s="614"/>
    </row>
    <row r="171" spans="1:14" ht="24.6" thickBot="1" x14ac:dyDescent="0.35">
      <c r="A171" s="413" t="s">
        <v>182</v>
      </c>
      <c r="B171" s="413" t="s">
        <v>0</v>
      </c>
      <c r="C171" s="414" t="s">
        <v>183</v>
      </c>
      <c r="D171" s="415"/>
      <c r="E171" s="415"/>
      <c r="F171" s="415"/>
      <c r="G171" s="415"/>
      <c r="H171" s="415"/>
    </row>
    <row r="172" spans="1:14" ht="60.6" thickBot="1" x14ac:dyDescent="0.35">
      <c r="A172" s="416" t="s">
        <v>184</v>
      </c>
      <c r="B172" s="417" t="s">
        <v>185</v>
      </c>
      <c r="C172" s="418">
        <v>0</v>
      </c>
      <c r="D172" s="415"/>
      <c r="E172" s="415"/>
      <c r="F172" s="415"/>
      <c r="G172" s="415"/>
      <c r="H172" s="415"/>
    </row>
    <row r="173" spans="1:14" ht="60.6" thickBot="1" x14ac:dyDescent="0.35">
      <c r="A173" s="419" t="s">
        <v>186</v>
      </c>
      <c r="B173" s="417" t="s">
        <v>185</v>
      </c>
      <c r="C173" s="418">
        <v>4.0591987018636955</v>
      </c>
    </row>
    <row r="174" spans="1:14" ht="15" thickBot="1" x14ac:dyDescent="0.35"/>
    <row r="175" spans="1:14" ht="15" thickBot="1" x14ac:dyDescent="0.35">
      <c r="A175" s="615" t="s">
        <v>187</v>
      </c>
      <c r="B175" s="616"/>
      <c r="C175" s="616"/>
      <c r="D175" s="616"/>
      <c r="E175" s="616"/>
      <c r="F175" s="616"/>
      <c r="G175" s="616"/>
      <c r="H175" s="616"/>
      <c r="I175" s="616"/>
      <c r="J175" s="616"/>
      <c r="K175" s="616"/>
      <c r="L175" s="616"/>
      <c r="M175" s="617"/>
    </row>
    <row r="177" spans="1:9" ht="21" x14ac:dyDescent="0.3">
      <c r="A177" s="618" t="s">
        <v>188</v>
      </c>
      <c r="B177" s="618"/>
      <c r="C177" s="618"/>
      <c r="D177" s="618"/>
      <c r="E177" s="618"/>
      <c r="F177" s="618"/>
      <c r="G177" s="618"/>
      <c r="H177" s="618"/>
      <c r="I177" s="618"/>
    </row>
    <row r="178" spans="1:9" x14ac:dyDescent="0.3">
      <c r="A178" s="619" t="s">
        <v>189</v>
      </c>
      <c r="B178" s="619"/>
      <c r="C178" s="619"/>
      <c r="D178" s="619"/>
      <c r="E178" s="619"/>
      <c r="F178" s="619"/>
      <c r="G178" s="619"/>
      <c r="H178" s="619"/>
      <c r="I178" s="619"/>
    </row>
  </sheetData>
  <mergeCells count="144">
    <mergeCell ref="A1:L1"/>
    <mergeCell ref="A2:A4"/>
    <mergeCell ref="B2:B4"/>
    <mergeCell ref="C2:C4"/>
    <mergeCell ref="E2:I2"/>
    <mergeCell ref="J2:L2"/>
    <mergeCell ref="E3:F3"/>
    <mergeCell ref="G3:I3"/>
    <mergeCell ref="J3:K3"/>
    <mergeCell ref="N14:T14"/>
    <mergeCell ref="N15:T15"/>
    <mergeCell ref="B16:B25"/>
    <mergeCell ref="N16:T16"/>
    <mergeCell ref="A5:A8"/>
    <mergeCell ref="B5:B6"/>
    <mergeCell ref="C5:C6"/>
    <mergeCell ref="B7:B8"/>
    <mergeCell ref="C7:C8"/>
    <mergeCell ref="A9:A25"/>
    <mergeCell ref="B9:B10"/>
    <mergeCell ref="C9:C10"/>
    <mergeCell ref="B11:B12"/>
    <mergeCell ref="C11:C12"/>
    <mergeCell ref="A26:A33"/>
    <mergeCell ref="B26:B27"/>
    <mergeCell ref="C26:C27"/>
    <mergeCell ref="B28:B29"/>
    <mergeCell ref="C28:C29"/>
    <mergeCell ref="B30:B32"/>
    <mergeCell ref="C30:C32"/>
    <mergeCell ref="B13:B15"/>
    <mergeCell ref="C13:C15"/>
    <mergeCell ref="C44:C46"/>
    <mergeCell ref="A49:A63"/>
    <mergeCell ref="B49:B50"/>
    <mergeCell ref="C49:C50"/>
    <mergeCell ref="B51:B52"/>
    <mergeCell ref="C51:C52"/>
    <mergeCell ref="B53:B55"/>
    <mergeCell ref="C53:C55"/>
    <mergeCell ref="B56:B58"/>
    <mergeCell ref="C56:C58"/>
    <mergeCell ref="A34:A48"/>
    <mergeCell ref="B34:B35"/>
    <mergeCell ref="C34:C35"/>
    <mergeCell ref="B36:B37"/>
    <mergeCell ref="C36:C37"/>
    <mergeCell ref="B38:B40"/>
    <mergeCell ref="C38:C40"/>
    <mergeCell ref="B41:B43"/>
    <mergeCell ref="C41:C43"/>
    <mergeCell ref="B44:B46"/>
    <mergeCell ref="B60:B62"/>
    <mergeCell ref="C60:C62"/>
    <mergeCell ref="A65:M65"/>
    <mergeCell ref="A66:A68"/>
    <mergeCell ref="B66:B68"/>
    <mergeCell ref="C66:C68"/>
    <mergeCell ref="D66:D68"/>
    <mergeCell ref="E66:E68"/>
    <mergeCell ref="F66:J66"/>
    <mergeCell ref="K66:M66"/>
    <mergeCell ref="N66:O66"/>
    <mergeCell ref="F67:G67"/>
    <mergeCell ref="H67:J67"/>
    <mergeCell ref="K67:L67"/>
    <mergeCell ref="A69:A73"/>
    <mergeCell ref="B69:B71"/>
    <mergeCell ref="C69:C71"/>
    <mergeCell ref="D69:D71"/>
    <mergeCell ref="B72:B73"/>
    <mergeCell ref="C72:C73"/>
    <mergeCell ref="A74:A85"/>
    <mergeCell ref="B74:B76"/>
    <mergeCell ref="C74:C76"/>
    <mergeCell ref="D74:D76"/>
    <mergeCell ref="B78:B80"/>
    <mergeCell ref="C78:C80"/>
    <mergeCell ref="D78:D80"/>
    <mergeCell ref="B82:B84"/>
    <mergeCell ref="C82:C84"/>
    <mergeCell ref="D82:D84"/>
    <mergeCell ref="A93:M93"/>
    <mergeCell ref="E94:I94"/>
    <mergeCell ref="J94:M94"/>
    <mergeCell ref="E95:I99"/>
    <mergeCell ref="J95:M99"/>
    <mergeCell ref="E100:I101"/>
    <mergeCell ref="J100:M101"/>
    <mergeCell ref="A86:A89"/>
    <mergeCell ref="B86:B88"/>
    <mergeCell ref="C86:C88"/>
    <mergeCell ref="D86:D88"/>
    <mergeCell ref="A90:A91"/>
    <mergeCell ref="B90:B91"/>
    <mergeCell ref="C90:C91"/>
    <mergeCell ref="A108:M108"/>
    <mergeCell ref="A109:M109"/>
    <mergeCell ref="A110:D110"/>
    <mergeCell ref="E110:J110"/>
    <mergeCell ref="K110:M110"/>
    <mergeCell ref="F111:G111"/>
    <mergeCell ref="K111:M111"/>
    <mergeCell ref="E102:I102"/>
    <mergeCell ref="J102:M102"/>
    <mergeCell ref="E103:I103"/>
    <mergeCell ref="J103:M105"/>
    <mergeCell ref="A104:A105"/>
    <mergeCell ref="E104:I105"/>
    <mergeCell ref="A133:E133"/>
    <mergeCell ref="A135:K135"/>
    <mergeCell ref="B139:K139"/>
    <mergeCell ref="B140:K140"/>
    <mergeCell ref="B141:K141"/>
    <mergeCell ref="B142:K142"/>
    <mergeCell ref="F112:G112"/>
    <mergeCell ref="K112:M112"/>
    <mergeCell ref="A114:E114"/>
    <mergeCell ref="A115:A116"/>
    <mergeCell ref="B115:D115"/>
    <mergeCell ref="E115:E116"/>
    <mergeCell ref="A154:E154"/>
    <mergeCell ref="B155:E155"/>
    <mergeCell ref="B156:E156"/>
    <mergeCell ref="B157:E157"/>
    <mergeCell ref="B158:E158"/>
    <mergeCell ref="B159:E159"/>
    <mergeCell ref="B143:K143"/>
    <mergeCell ref="A145:E145"/>
    <mergeCell ref="B149:E149"/>
    <mergeCell ref="B150:E150"/>
    <mergeCell ref="B151:E151"/>
    <mergeCell ref="B152:E152"/>
    <mergeCell ref="B167:E167"/>
    <mergeCell ref="A170:M170"/>
    <mergeCell ref="A175:M175"/>
    <mergeCell ref="A177:I177"/>
    <mergeCell ref="A178:I178"/>
    <mergeCell ref="B160:E160"/>
    <mergeCell ref="B161:E161"/>
    <mergeCell ref="B162:E162"/>
    <mergeCell ref="A164:E164"/>
    <mergeCell ref="B165:E165"/>
    <mergeCell ref="B166:E166"/>
  </mergeCells>
  <dataValidations count="1">
    <dataValidation type="list" allowBlank="1" showInputMessage="1" showErrorMessage="1" sqref="N9" xr:uid="{00000000-0002-0000-0100-000000000000}">
      <formula1>$R$9:$R$11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FFFF00"/>
  </sheetPr>
  <dimension ref="A1:N39"/>
  <sheetViews>
    <sheetView zoomScale="80" zoomScaleNormal="80" workbookViewId="0">
      <selection activeCell="C4" sqref="C4:F12"/>
    </sheetView>
  </sheetViews>
  <sheetFormatPr defaultColWidth="9.21875" defaultRowHeight="14.4" x14ac:dyDescent="0.3"/>
  <cols>
    <col min="1" max="1" width="33.21875" style="284" customWidth="1"/>
    <col min="2" max="2" width="6.5546875" style="296" customWidth="1"/>
    <col min="3" max="3" width="13" style="284" customWidth="1"/>
    <col min="4" max="4" width="13.77734375" style="284" customWidth="1"/>
    <col min="5" max="5" width="14.21875" style="284" customWidth="1"/>
    <col min="6" max="6" width="15.44140625" style="284" customWidth="1"/>
    <col min="7" max="7" width="12.21875" style="284" bestFit="1" customWidth="1"/>
    <col min="8" max="8" width="8.21875" style="284" hidden="1" customWidth="1"/>
    <col min="9" max="9" width="10.21875" style="284" hidden="1" customWidth="1"/>
    <col min="10" max="10" width="7.21875" style="284" hidden="1" customWidth="1"/>
    <col min="11" max="11" width="4.5546875" style="284" hidden="1" customWidth="1"/>
    <col min="12" max="12" width="5" style="284" hidden="1" customWidth="1"/>
    <col min="13" max="13" width="11.44140625" style="284" hidden="1" customWidth="1"/>
    <col min="14" max="14" width="21.21875" style="284" hidden="1" customWidth="1"/>
    <col min="15" max="15" width="0" style="284" hidden="1" customWidth="1"/>
    <col min="16" max="16384" width="9.21875" style="284"/>
  </cols>
  <sheetData>
    <row r="1" spans="1:14" ht="17.7" customHeight="1" x14ac:dyDescent="0.3">
      <c r="A1" s="322">
        <v>2025</v>
      </c>
      <c r="C1" s="299" t="s">
        <v>190</v>
      </c>
      <c r="D1" s="300" t="s">
        <v>191</v>
      </c>
      <c r="E1" s="301" t="s">
        <v>192</v>
      </c>
      <c r="F1" s="432" t="s">
        <v>193</v>
      </c>
      <c r="G1" s="283"/>
    </row>
    <row r="2" spans="1:14" x14ac:dyDescent="0.3">
      <c r="A2" s="285" t="s">
        <v>194</v>
      </c>
      <c r="B2" s="278"/>
      <c r="C2" s="299" t="s">
        <v>195</v>
      </c>
      <c r="D2" s="300" t="s">
        <v>195</v>
      </c>
      <c r="E2" s="301" t="s">
        <v>195</v>
      </c>
      <c r="F2" s="432" t="s">
        <v>195</v>
      </c>
      <c r="G2" s="283"/>
      <c r="I2" s="433" t="s">
        <v>32</v>
      </c>
      <c r="J2" s="433" t="s">
        <v>33</v>
      </c>
      <c r="K2" s="433" t="s">
        <v>34</v>
      </c>
      <c r="L2" s="433" t="s">
        <v>35</v>
      </c>
    </row>
    <row r="3" spans="1:14" x14ac:dyDescent="0.3">
      <c r="A3" s="283"/>
      <c r="B3" s="278"/>
      <c r="C3" s="283"/>
      <c r="D3" s="283"/>
      <c r="E3" s="283"/>
      <c r="F3" s="283"/>
      <c r="G3" s="283"/>
      <c r="I3" s="434" t="s">
        <v>37</v>
      </c>
      <c r="J3" s="435" t="s">
        <v>38</v>
      </c>
      <c r="K3" s="435" t="s">
        <v>39</v>
      </c>
      <c r="L3" s="436">
        <v>2025</v>
      </c>
    </row>
    <row r="4" spans="1:14" x14ac:dyDescent="0.3">
      <c r="A4" s="286" t="s">
        <v>196</v>
      </c>
      <c r="B4" s="283"/>
      <c r="C4" s="321">
        <v>0.39769197799808981</v>
      </c>
      <c r="D4" s="321">
        <v>8.512776690845017E-2</v>
      </c>
      <c r="E4" s="321">
        <v>0.25265748787228293</v>
      </c>
      <c r="F4" s="321">
        <v>0.26452276722117707</v>
      </c>
      <c r="G4" s="287"/>
      <c r="I4" s="434" t="s">
        <v>43</v>
      </c>
      <c r="J4" s="435" t="s">
        <v>44</v>
      </c>
      <c r="K4" s="435" t="s">
        <v>45</v>
      </c>
      <c r="L4" s="436">
        <v>9999</v>
      </c>
    </row>
    <row r="5" spans="1:14" x14ac:dyDescent="0.3">
      <c r="A5" s="587" t="s">
        <v>197</v>
      </c>
      <c r="B5" s="278"/>
      <c r="C5" s="321">
        <v>0.51666134768573579</v>
      </c>
      <c r="D5" s="321">
        <v>0.11059369866547396</v>
      </c>
      <c r="E5" s="321">
        <v>0.32823985750000007</v>
      </c>
      <c r="F5" s="321">
        <v>4.4505096148790169E-2</v>
      </c>
      <c r="G5" s="287"/>
      <c r="H5" s="283"/>
    </row>
    <row r="6" spans="1:14" x14ac:dyDescent="0.3">
      <c r="A6" s="587" t="s">
        <v>198</v>
      </c>
      <c r="B6" s="278"/>
      <c r="C6" s="321">
        <v>0.39769197799808981</v>
      </c>
      <c r="D6" s="321">
        <v>8.512776690845017E-2</v>
      </c>
      <c r="E6" s="321">
        <v>0.25265748787228293</v>
      </c>
      <c r="F6" s="321">
        <v>0.26452276722117707</v>
      </c>
      <c r="G6" s="287"/>
      <c r="H6" s="283"/>
    </row>
    <row r="7" spans="1:14" x14ac:dyDescent="0.3">
      <c r="A7" s="587" t="s">
        <v>199</v>
      </c>
      <c r="B7" s="278"/>
      <c r="C7" s="321">
        <v>0.39769197799808981</v>
      </c>
      <c r="D7" s="321">
        <v>8.512776690845017E-2</v>
      </c>
      <c r="E7" s="321">
        <v>0.25265748787228293</v>
      </c>
      <c r="F7" s="321">
        <v>0.26452276722117707</v>
      </c>
      <c r="G7" s="287"/>
      <c r="H7" s="283"/>
    </row>
    <row r="8" spans="1:14" x14ac:dyDescent="0.3">
      <c r="A8" s="288" t="s">
        <v>200</v>
      </c>
      <c r="B8" s="278"/>
      <c r="C8" s="321">
        <v>0.39769197799808981</v>
      </c>
      <c r="D8" s="321">
        <v>8.512776690845017E-2</v>
      </c>
      <c r="E8" s="321">
        <v>0.25265748787228293</v>
      </c>
      <c r="F8" s="321">
        <v>0.26452276722117707</v>
      </c>
      <c r="G8" s="287"/>
      <c r="H8" s="283"/>
      <c r="I8" s="277" t="s">
        <v>51</v>
      </c>
      <c r="J8" s="277" t="s">
        <v>52</v>
      </c>
      <c r="K8" s="277" t="s">
        <v>35</v>
      </c>
      <c r="L8" s="283"/>
      <c r="M8" s="277" t="s">
        <v>51</v>
      </c>
      <c r="N8" s="277" t="s">
        <v>53</v>
      </c>
    </row>
    <row r="9" spans="1:14" x14ac:dyDescent="0.3">
      <c r="A9" s="288" t="s">
        <v>201</v>
      </c>
      <c r="B9" s="278"/>
      <c r="C9" s="321">
        <v>0.39769197799808981</v>
      </c>
      <c r="D9" s="321">
        <v>8.512776690845017E-2</v>
      </c>
      <c r="E9" s="321">
        <v>0.25265748787228293</v>
      </c>
      <c r="F9" s="321">
        <v>0.26452276722117707</v>
      </c>
      <c r="G9" s="287"/>
      <c r="H9" s="283"/>
      <c r="I9" s="289" t="s">
        <v>55</v>
      </c>
      <c r="J9" s="290">
        <v>3541</v>
      </c>
      <c r="K9" s="291">
        <v>2025</v>
      </c>
      <c r="L9" s="283"/>
      <c r="M9" s="292" t="s">
        <v>55</v>
      </c>
      <c r="N9" s="293" t="s">
        <v>56</v>
      </c>
    </row>
    <row r="10" spans="1:14" x14ac:dyDescent="0.3">
      <c r="A10" s="587" t="s">
        <v>202</v>
      </c>
      <c r="B10" s="278"/>
      <c r="C10" s="321">
        <v>0.39769197799808981</v>
      </c>
      <c r="D10" s="321">
        <v>8.512776690845017E-2</v>
      </c>
      <c r="E10" s="321">
        <v>0.25265748787228293</v>
      </c>
      <c r="F10" s="321">
        <v>0.26452276722117707</v>
      </c>
      <c r="G10" s="287"/>
      <c r="H10" s="283"/>
      <c r="I10" s="294"/>
      <c r="J10" s="294"/>
      <c r="K10" s="283"/>
      <c r="L10" s="283"/>
      <c r="M10" s="292" t="s">
        <v>57</v>
      </c>
      <c r="N10" s="293" t="s">
        <v>58</v>
      </c>
    </row>
    <row r="11" spans="1:14" x14ac:dyDescent="0.3">
      <c r="A11" s="588" t="s">
        <v>203</v>
      </c>
      <c r="B11" s="278"/>
      <c r="C11" s="321">
        <v>0.39769197799808981</v>
      </c>
      <c r="D11" s="321">
        <v>8.512776690845017E-2</v>
      </c>
      <c r="E11" s="321">
        <v>0.25265748787228293</v>
      </c>
      <c r="F11" s="321">
        <v>0.26452276722117707</v>
      </c>
      <c r="G11" s="287"/>
      <c r="H11" s="283"/>
      <c r="I11" s="294"/>
      <c r="J11" s="294"/>
      <c r="K11" s="283"/>
      <c r="L11" s="283"/>
      <c r="M11" s="292" t="s">
        <v>59</v>
      </c>
      <c r="N11" s="293" t="s">
        <v>60</v>
      </c>
    </row>
    <row r="12" spans="1:14" x14ac:dyDescent="0.3">
      <c r="A12" s="295" t="s">
        <v>204</v>
      </c>
      <c r="B12" s="278"/>
      <c r="C12" s="321">
        <v>0.39769197799808981</v>
      </c>
      <c r="D12" s="321">
        <v>8.512776690845017E-2</v>
      </c>
      <c r="E12" s="321">
        <v>0.25265748787228293</v>
      </c>
      <c r="F12" s="321">
        <v>0.26452276722117707</v>
      </c>
      <c r="G12" s="287"/>
      <c r="H12" s="283"/>
      <c r="I12" s="294"/>
      <c r="J12" s="294"/>
      <c r="K12" s="283"/>
      <c r="L12" s="283"/>
      <c r="M12" s="283"/>
      <c r="N12" s="283"/>
    </row>
    <row r="13" spans="1:14" ht="15.6" x14ac:dyDescent="0.3">
      <c r="A13" s="322">
        <v>2024</v>
      </c>
      <c r="B13" s="278"/>
      <c r="C13" s="297"/>
      <c r="H13" s="283"/>
      <c r="I13" s="752" t="s">
        <v>205</v>
      </c>
      <c r="J13" s="752"/>
      <c r="K13" s="752"/>
      <c r="L13" s="752"/>
      <c r="M13" s="752"/>
    </row>
    <row r="14" spans="1:14" hidden="1" x14ac:dyDescent="0.3">
      <c r="A14" s="298"/>
      <c r="C14" s="299" t="s">
        <v>190</v>
      </c>
      <c r="D14" s="299" t="s">
        <v>206</v>
      </c>
      <c r="E14" s="300" t="s">
        <v>191</v>
      </c>
      <c r="F14" s="301" t="s">
        <v>192</v>
      </c>
      <c r="G14" s="302" t="s">
        <v>193</v>
      </c>
      <c r="I14" s="752"/>
      <c r="J14" s="752"/>
      <c r="K14" s="752"/>
      <c r="L14" s="752"/>
      <c r="M14" s="752"/>
    </row>
    <row r="15" spans="1:14" hidden="1" x14ac:dyDescent="0.3">
      <c r="A15" s="285" t="s">
        <v>194</v>
      </c>
      <c r="C15" s="299" t="s">
        <v>195</v>
      </c>
      <c r="D15" s="299" t="s">
        <v>195</v>
      </c>
      <c r="E15" s="300" t="s">
        <v>195</v>
      </c>
      <c r="F15" s="301" t="s">
        <v>195</v>
      </c>
      <c r="G15" s="302" t="s">
        <v>195</v>
      </c>
      <c r="I15" s="752"/>
      <c r="J15" s="752"/>
      <c r="K15" s="752"/>
      <c r="L15" s="752"/>
      <c r="M15" s="752"/>
    </row>
    <row r="16" spans="1:14" hidden="1" x14ac:dyDescent="0.3">
      <c r="A16" s="283"/>
      <c r="C16" s="283"/>
      <c r="D16" s="283"/>
      <c r="E16" s="283"/>
      <c r="F16" s="283"/>
      <c r="G16" s="283"/>
    </row>
    <row r="17" spans="1:12" hidden="1" x14ac:dyDescent="0.3">
      <c r="A17" s="286" t="s">
        <v>196</v>
      </c>
      <c r="C17" s="304">
        <v>0.33857676951905669</v>
      </c>
      <c r="D17" s="304">
        <v>6.1401027136231565E-2</v>
      </c>
      <c r="E17" s="304">
        <v>8.5035659154648682E-2</v>
      </c>
      <c r="F17" s="304">
        <v>0.25306820208093073</v>
      </c>
      <c r="G17" s="304">
        <v>0.26191834210913234</v>
      </c>
    </row>
    <row r="18" spans="1:12" hidden="1" x14ac:dyDescent="0.3">
      <c r="A18" s="587" t="s">
        <v>197</v>
      </c>
      <c r="C18" s="304">
        <v>0.43827147831504037</v>
      </c>
      <c r="D18" s="304">
        <v>7.948070085045654E-2</v>
      </c>
      <c r="E18" s="304">
        <v>0.11007460464621191</v>
      </c>
      <c r="F18" s="304">
        <v>0.32758471645319481</v>
      </c>
      <c r="G18" s="304">
        <v>4.4588499735096487E-2</v>
      </c>
      <c r="H18" s="283"/>
      <c r="I18" s="283"/>
      <c r="J18" s="283"/>
      <c r="K18" s="283"/>
      <c r="L18" s="283"/>
    </row>
    <row r="19" spans="1:12" hidden="1" x14ac:dyDescent="0.3">
      <c r="A19" s="589" t="s">
        <v>207</v>
      </c>
      <c r="C19" s="304">
        <v>0.43827860236377852</v>
      </c>
      <c r="D19" s="304">
        <v>7.9481992799430037E-2</v>
      </c>
      <c r="E19" s="304">
        <v>0.11007639389531189</v>
      </c>
      <c r="F19" s="304">
        <v>0.32759004130229241</v>
      </c>
      <c r="G19" s="304">
        <v>4.457296963918711E-2</v>
      </c>
      <c r="H19" s="283"/>
      <c r="I19" s="283"/>
      <c r="J19" s="283"/>
      <c r="K19" s="283"/>
      <c r="L19" s="283"/>
    </row>
    <row r="20" spans="1:12" hidden="1" x14ac:dyDescent="0.3">
      <c r="A20" s="587" t="s">
        <v>198</v>
      </c>
      <c r="B20" s="307"/>
      <c r="C20" s="304">
        <v>0.33857676951905669</v>
      </c>
      <c r="D20" s="304">
        <v>6.1401027136231565E-2</v>
      </c>
      <c r="E20" s="304">
        <v>8.5035659154648682E-2</v>
      </c>
      <c r="F20" s="304">
        <v>0.25306820208093073</v>
      </c>
      <c r="G20" s="304">
        <v>0.26191834210913234</v>
      </c>
      <c r="H20" s="283"/>
      <c r="I20" s="283"/>
      <c r="J20" s="283"/>
      <c r="K20" s="283"/>
      <c r="L20" s="283"/>
    </row>
    <row r="21" spans="1:12" hidden="1" x14ac:dyDescent="0.3">
      <c r="A21" s="587" t="s">
        <v>199</v>
      </c>
      <c r="C21" s="304">
        <v>0.33857676951905669</v>
      </c>
      <c r="D21" s="304">
        <v>6.1401027136231565E-2</v>
      </c>
      <c r="E21" s="304">
        <v>8.5035659154648682E-2</v>
      </c>
      <c r="F21" s="304">
        <v>0.25306820208093073</v>
      </c>
      <c r="G21" s="304">
        <v>0.26191834210913234</v>
      </c>
      <c r="H21" s="283"/>
      <c r="I21" s="283"/>
      <c r="J21" s="283"/>
      <c r="K21" s="283"/>
      <c r="L21" s="283"/>
    </row>
    <row r="22" spans="1:12" hidden="1" x14ac:dyDescent="0.3">
      <c r="A22" s="288" t="s">
        <v>200</v>
      </c>
      <c r="C22" s="304">
        <v>0.33857676951905669</v>
      </c>
      <c r="D22" s="304">
        <v>6.1401027136231565E-2</v>
      </c>
      <c r="E22" s="304">
        <v>8.5035659154648682E-2</v>
      </c>
      <c r="F22" s="304">
        <v>0.25306820208093073</v>
      </c>
      <c r="G22" s="304">
        <v>0.26191834210913234</v>
      </c>
      <c r="H22" s="283"/>
      <c r="I22" s="283"/>
      <c r="J22" s="283"/>
      <c r="K22" s="283"/>
      <c r="L22" s="283"/>
    </row>
    <row r="23" spans="1:12" hidden="1" x14ac:dyDescent="0.3">
      <c r="A23" s="288" t="s">
        <v>201</v>
      </c>
      <c r="C23" s="304">
        <v>0.33857676951905669</v>
      </c>
      <c r="D23" s="304">
        <v>6.1401027136231565E-2</v>
      </c>
      <c r="E23" s="304">
        <v>8.5035659154648682E-2</v>
      </c>
      <c r="F23" s="304">
        <v>0.25306820208093073</v>
      </c>
      <c r="G23" s="304">
        <v>0.26191834210913234</v>
      </c>
      <c r="H23" s="283"/>
      <c r="I23" s="283"/>
      <c r="J23" s="283"/>
      <c r="K23" s="283"/>
      <c r="L23" s="283"/>
    </row>
    <row r="24" spans="1:12" hidden="1" x14ac:dyDescent="0.3">
      <c r="A24" s="587" t="s">
        <v>202</v>
      </c>
      <c r="C24" s="304">
        <v>0.338575223506411</v>
      </c>
      <c r="D24" s="304">
        <v>6.1400746766244726E-2</v>
      </c>
      <c r="E24" s="304">
        <v>8.5035270863967657E-2</v>
      </c>
      <c r="F24" s="304">
        <v>0.25306704651836531</v>
      </c>
      <c r="G24" s="304">
        <v>0.26192171234501127</v>
      </c>
      <c r="H24" s="283"/>
      <c r="I24" s="283"/>
      <c r="J24" s="283"/>
      <c r="K24" s="283"/>
      <c r="L24" s="283"/>
    </row>
    <row r="25" spans="1:12" hidden="1" x14ac:dyDescent="0.3">
      <c r="A25" s="588" t="s">
        <v>203</v>
      </c>
      <c r="C25" s="304">
        <v>0.33858102112663607</v>
      </c>
      <c r="D25" s="304">
        <v>6.1401798166898197E-2</v>
      </c>
      <c r="E25" s="304">
        <v>8.5036726972306131E-2</v>
      </c>
      <c r="F25" s="304">
        <v>0.25307137993240408</v>
      </c>
      <c r="G25" s="304">
        <v>0.26190907380175554</v>
      </c>
      <c r="H25" s="283"/>
      <c r="I25" s="283"/>
      <c r="J25" s="283"/>
      <c r="K25" s="283"/>
      <c r="L25" s="283"/>
    </row>
    <row r="26" spans="1:12" hidden="1" x14ac:dyDescent="0.3">
      <c r="A26" s="295" t="s">
        <v>204</v>
      </c>
      <c r="C26" s="304">
        <v>0.33858102112663607</v>
      </c>
      <c r="D26" s="304">
        <v>6.1401798166898197E-2</v>
      </c>
      <c r="E26" s="304">
        <v>8.5036726972306131E-2</v>
      </c>
      <c r="F26" s="304">
        <v>0.25307137993240408</v>
      </c>
      <c r="G26" s="304">
        <v>0.26190907380175554</v>
      </c>
      <c r="H26" s="283"/>
      <c r="I26" s="283"/>
      <c r="J26" s="283"/>
      <c r="K26" s="283"/>
      <c r="L26" s="283"/>
    </row>
    <row r="27" spans="1:12" hidden="1" x14ac:dyDescent="0.3">
      <c r="C27" s="297"/>
      <c r="H27" s="283"/>
      <c r="I27" s="283"/>
      <c r="J27" s="283"/>
      <c r="K27" s="283"/>
      <c r="L27" s="283"/>
    </row>
    <row r="28" spans="1:12" hidden="1" x14ac:dyDescent="0.3"/>
    <row r="29" spans="1:12" hidden="1" x14ac:dyDescent="0.3">
      <c r="G29" s="303"/>
    </row>
    <row r="30" spans="1:12" hidden="1" x14ac:dyDescent="0.3">
      <c r="G30" s="303"/>
      <c r="H30" s="303"/>
      <c r="I30" s="303"/>
      <c r="J30" s="303"/>
      <c r="K30" s="303"/>
    </row>
    <row r="31" spans="1:12" x14ac:dyDescent="0.3">
      <c r="A31" s="286" t="s">
        <v>196</v>
      </c>
      <c r="C31" s="320">
        <v>0.41273682960000002</v>
      </c>
      <c r="D31" s="320">
        <v>9.8534926200000011E-2</v>
      </c>
      <c r="E31" s="320">
        <v>0.2916348184</v>
      </c>
      <c r="F31" s="320">
        <v>0.19709700829999999</v>
      </c>
      <c r="G31" s="303"/>
      <c r="H31" s="303"/>
      <c r="I31" s="303"/>
      <c r="J31" s="303"/>
      <c r="K31" s="303"/>
    </row>
    <row r="32" spans="1:12" x14ac:dyDescent="0.3">
      <c r="A32" s="587" t="s">
        <v>197</v>
      </c>
      <c r="C32" s="320">
        <v>0.49306718250000003</v>
      </c>
      <c r="D32" s="320">
        <v>0.11771263169999999</v>
      </c>
      <c r="E32" s="320">
        <v>0.34839526770000001</v>
      </c>
      <c r="F32" s="320">
        <v>4.0810691699999999E-2</v>
      </c>
      <c r="G32" s="303"/>
      <c r="H32" s="303"/>
      <c r="I32" s="303"/>
      <c r="J32" s="303"/>
      <c r="K32" s="303"/>
    </row>
    <row r="33" spans="1:11" x14ac:dyDescent="0.3">
      <c r="A33" s="587" t="s">
        <v>198</v>
      </c>
      <c r="C33" s="320">
        <v>0.41273682960000002</v>
      </c>
      <c r="D33" s="320">
        <v>9.8534926200000011E-2</v>
      </c>
      <c r="E33" s="320">
        <v>0.2916348184</v>
      </c>
      <c r="F33" s="320">
        <v>0.19709700829999999</v>
      </c>
      <c r="G33" s="303"/>
      <c r="H33" s="303"/>
      <c r="I33" s="303"/>
      <c r="J33" s="303"/>
      <c r="K33" s="303"/>
    </row>
    <row r="34" spans="1:11" x14ac:dyDescent="0.3">
      <c r="A34" s="587" t="s">
        <v>199</v>
      </c>
      <c r="C34" s="320">
        <v>0.41273682960000002</v>
      </c>
      <c r="D34" s="320">
        <v>9.8534926200000011E-2</v>
      </c>
      <c r="E34" s="320">
        <v>0.2916348184</v>
      </c>
      <c r="F34" s="320">
        <v>0.19709700829999999</v>
      </c>
      <c r="G34" s="303"/>
      <c r="H34" s="303"/>
      <c r="I34" s="303"/>
      <c r="J34" s="303"/>
      <c r="K34" s="303"/>
    </row>
    <row r="35" spans="1:11" x14ac:dyDescent="0.3">
      <c r="A35" s="288" t="s">
        <v>200</v>
      </c>
      <c r="C35" s="320">
        <v>0.41273682960000002</v>
      </c>
      <c r="D35" s="320">
        <v>9.8534926200000011E-2</v>
      </c>
      <c r="E35" s="320">
        <v>0.2916348184</v>
      </c>
      <c r="F35" s="320">
        <v>0.19709700829999999</v>
      </c>
      <c r="G35" s="303"/>
      <c r="H35" s="303"/>
      <c r="I35" s="303"/>
      <c r="J35" s="303"/>
      <c r="K35" s="303"/>
    </row>
    <row r="36" spans="1:11" x14ac:dyDescent="0.3">
      <c r="A36" s="288" t="s">
        <v>201</v>
      </c>
      <c r="C36" s="320">
        <v>0.41273682960000002</v>
      </c>
      <c r="D36" s="320">
        <v>9.8534926200000011E-2</v>
      </c>
      <c r="E36" s="320">
        <v>0.2916348184</v>
      </c>
      <c r="F36" s="320">
        <v>0.19709700829999999</v>
      </c>
      <c r="G36" s="303"/>
      <c r="H36" s="303"/>
      <c r="I36" s="303"/>
      <c r="J36" s="303"/>
      <c r="K36" s="303"/>
    </row>
    <row r="37" spans="1:11" x14ac:dyDescent="0.3">
      <c r="A37" s="587" t="s">
        <v>202</v>
      </c>
      <c r="C37" s="320">
        <v>0.41273480010000002</v>
      </c>
      <c r="D37" s="320">
        <v>9.8534441600000008E-2</v>
      </c>
      <c r="E37" s="320">
        <v>0.29163338430000002</v>
      </c>
      <c r="F37" s="320">
        <v>0.19709603919999999</v>
      </c>
      <c r="H37" s="303"/>
      <c r="I37" s="303"/>
      <c r="J37" s="303"/>
      <c r="K37" s="303"/>
    </row>
    <row r="38" spans="1:11" x14ac:dyDescent="0.3">
      <c r="A38" s="588" t="s">
        <v>203</v>
      </c>
      <c r="C38" s="320">
        <v>0.41274125779999998</v>
      </c>
      <c r="D38" s="320">
        <v>9.8535983300000005E-2</v>
      </c>
      <c r="E38" s="320">
        <v>0.29163794719999997</v>
      </c>
      <c r="F38" s="320">
        <v>0.19709912289999998</v>
      </c>
    </row>
    <row r="39" spans="1:11" x14ac:dyDescent="0.3">
      <c r="A39" s="295" t="s">
        <v>204</v>
      </c>
      <c r="C39" s="320">
        <v>0.41273480010000002</v>
      </c>
      <c r="D39" s="320">
        <v>9.8534441600000008E-2</v>
      </c>
      <c r="E39" s="320">
        <v>0.29163338430000002</v>
      </c>
      <c r="F39" s="320">
        <v>0.19709603919999999</v>
      </c>
    </row>
  </sheetData>
  <mergeCells count="1">
    <mergeCell ref="I13:M15"/>
  </mergeCells>
  <dataValidations count="4">
    <dataValidation type="list" allowBlank="1" showInputMessage="1" showErrorMessage="1" sqref="I9" xr:uid="{00000000-0002-0000-0200-000000000000}">
      <formula1>$M$9:$M$11</formula1>
    </dataValidation>
    <dataValidation type="whole" allowBlank="1" showInputMessage="1" showErrorMessage="1" errorTitle="Ano do reajuste da tarifa" error="Digite apenas o ano do reajuste da tarifa, a partir de 1998" sqref="L4" xr:uid="{00000000-0002-0000-0200-000001000000}">
      <formula1>1998</formula1>
      <formula2>9999</formula2>
    </dataValidation>
    <dataValidation type="whole" allowBlank="1" showInputMessage="1" showErrorMessage="1" errorTitle="Ano do reajuste da tarifa" error="Digite apenas o ano do reajuste da tarifa, a partir de 1998" sqref="L3" xr:uid="{00000000-0002-0000-0200-000002000000}">
      <formula1>1998</formula1>
      <formula2>2050</formula2>
    </dataValidation>
    <dataValidation allowBlank="1" showInputMessage="1" showErrorMessage="1" sqref="K3:K4" xr:uid="{00000000-0002-0000-0200-000003000000}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/>
  <dimension ref="A1:I12"/>
  <sheetViews>
    <sheetView workbookViewId="0">
      <selection activeCell="C4" sqref="C4:F12"/>
    </sheetView>
  </sheetViews>
  <sheetFormatPr defaultRowHeight="14.4" x14ac:dyDescent="0.3"/>
  <cols>
    <col min="1" max="1" width="30.44140625" bestFit="1" customWidth="1"/>
    <col min="3" max="6" width="11.77734375" bestFit="1" customWidth="1"/>
  </cols>
  <sheetData>
    <row r="1" spans="1:9" x14ac:dyDescent="0.3">
      <c r="A1" s="314">
        <v>2024</v>
      </c>
      <c r="C1" s="279" t="s">
        <v>190</v>
      </c>
      <c r="D1" s="280" t="s">
        <v>191</v>
      </c>
      <c r="E1" s="281" t="s">
        <v>192</v>
      </c>
      <c r="F1" s="282" t="s">
        <v>193</v>
      </c>
    </row>
    <row r="2" spans="1:9" x14ac:dyDescent="0.3">
      <c r="A2" s="285" t="s">
        <v>194</v>
      </c>
      <c r="C2" s="437" t="s">
        <v>195</v>
      </c>
      <c r="D2" s="437" t="s">
        <v>195</v>
      </c>
      <c r="E2" s="437" t="s">
        <v>195</v>
      </c>
      <c r="F2" s="437" t="s">
        <v>195</v>
      </c>
    </row>
    <row r="3" spans="1:9" x14ac:dyDescent="0.3">
      <c r="C3" s="8"/>
      <c r="D3" s="8"/>
      <c r="E3" s="8"/>
      <c r="F3" s="8"/>
    </row>
    <row r="4" spans="1:9" x14ac:dyDescent="0.3">
      <c r="A4" s="286" t="s">
        <v>196</v>
      </c>
      <c r="B4" s="286"/>
      <c r="C4" s="286">
        <v>0.41273682960000002</v>
      </c>
      <c r="D4" s="286">
        <v>9.8534926200000011E-2</v>
      </c>
      <c r="E4" s="286">
        <v>0.2916348184</v>
      </c>
      <c r="F4" s="286">
        <v>0.19709700829999999</v>
      </c>
    </row>
    <row r="5" spans="1:9" x14ac:dyDescent="0.3">
      <c r="A5" s="286" t="s">
        <v>197</v>
      </c>
      <c r="B5" s="286"/>
      <c r="C5" s="286">
        <v>0.49306718250000003</v>
      </c>
      <c r="D5" s="286">
        <v>0.11771263169999999</v>
      </c>
      <c r="E5" s="286">
        <v>0.34839526770000001</v>
      </c>
      <c r="F5" s="286">
        <v>4.0810691699999999E-2</v>
      </c>
    </row>
    <row r="6" spans="1:9" x14ac:dyDescent="0.3">
      <c r="A6" s="286" t="s">
        <v>198</v>
      </c>
      <c r="B6" s="286"/>
      <c r="C6" s="286">
        <v>0.41273682960000002</v>
      </c>
      <c r="D6" s="286">
        <v>9.8534926200000011E-2</v>
      </c>
      <c r="E6" s="286">
        <v>0.2916348184</v>
      </c>
      <c r="F6" s="286">
        <v>0.19709700829999999</v>
      </c>
    </row>
    <row r="7" spans="1:9" x14ac:dyDescent="0.3">
      <c r="A7" s="286" t="s">
        <v>199</v>
      </c>
      <c r="B7" s="286"/>
      <c r="C7" s="286">
        <v>0.41273682960000002</v>
      </c>
      <c r="D7" s="286">
        <v>9.8534926200000011E-2</v>
      </c>
      <c r="E7" s="286">
        <v>0.2916348184</v>
      </c>
      <c r="F7" s="286">
        <v>0.19709700829999999</v>
      </c>
    </row>
    <row r="8" spans="1:9" x14ac:dyDescent="0.3">
      <c r="A8" s="286" t="s">
        <v>200</v>
      </c>
      <c r="B8" s="286"/>
      <c r="C8" s="286">
        <v>0.41273682960000002</v>
      </c>
      <c r="D8" s="286">
        <v>9.8534926200000011E-2</v>
      </c>
      <c r="E8" s="286">
        <v>0.2916348184</v>
      </c>
      <c r="F8" s="286">
        <v>0.19709700829999999</v>
      </c>
    </row>
    <row r="9" spans="1:9" x14ac:dyDescent="0.3">
      <c r="A9" s="286" t="s">
        <v>201</v>
      </c>
      <c r="B9" s="286"/>
      <c r="C9" s="286">
        <v>0.41273682960000002</v>
      </c>
      <c r="D9" s="286">
        <v>9.8534926200000011E-2</v>
      </c>
      <c r="E9" s="286">
        <v>0.2916348184</v>
      </c>
      <c r="F9" s="286">
        <v>0.19709700829999999</v>
      </c>
    </row>
    <row r="10" spans="1:9" x14ac:dyDescent="0.3">
      <c r="A10" s="286" t="s">
        <v>202</v>
      </c>
      <c r="B10" s="286"/>
      <c r="C10" s="286">
        <v>0.41273480010000002</v>
      </c>
      <c r="D10" s="286">
        <v>9.8534441600000008E-2</v>
      </c>
      <c r="E10" s="286">
        <v>0.29163338430000002</v>
      </c>
      <c r="F10" s="286">
        <v>0.19709603919999999</v>
      </c>
    </row>
    <row r="11" spans="1:9" x14ac:dyDescent="0.3">
      <c r="A11" s="286" t="s">
        <v>203</v>
      </c>
      <c r="B11" s="286"/>
      <c r="C11" s="286">
        <v>0.41274125779999998</v>
      </c>
      <c r="D11" s="286">
        <v>9.8535983300000005E-2</v>
      </c>
      <c r="E11" s="286">
        <v>0.29163794719999997</v>
      </c>
      <c r="F11" s="286">
        <v>0.19709912289999998</v>
      </c>
    </row>
    <row r="12" spans="1:9" x14ac:dyDescent="0.3">
      <c r="A12" s="286" t="s">
        <v>204</v>
      </c>
      <c r="B12" s="286"/>
      <c r="C12" s="286">
        <v>0.41273480010000002</v>
      </c>
      <c r="D12" s="286">
        <v>9.8534441600000008E-2</v>
      </c>
      <c r="E12" s="286">
        <v>0.29163338430000002</v>
      </c>
      <c r="F12" s="286">
        <v>0.19709603919999999</v>
      </c>
      <c r="I12" s="28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/>
  <dimension ref="B1:T29"/>
  <sheetViews>
    <sheetView topLeftCell="B16" workbookViewId="0">
      <selection activeCell="Q22" sqref="Q22:R22"/>
    </sheetView>
  </sheetViews>
  <sheetFormatPr defaultRowHeight="14.4" x14ac:dyDescent="0.3"/>
  <cols>
    <col min="10" max="14" width="0" hidden="1" customWidth="1"/>
    <col min="15" max="15" width="9.5546875" style="8" bestFit="1" customWidth="1"/>
    <col min="16" max="16" width="9.5546875" style="8" customWidth="1"/>
    <col min="17" max="17" width="10.77734375" style="8" customWidth="1"/>
    <col min="18" max="18" width="8.77734375" style="8"/>
    <col min="20" max="20" width="22.21875" customWidth="1"/>
  </cols>
  <sheetData>
    <row r="1" spans="2:20" ht="15" thickBot="1" x14ac:dyDescent="0.35"/>
    <row r="2" spans="2:20" ht="15" thickBot="1" x14ac:dyDescent="0.35">
      <c r="B2" s="667" t="s">
        <v>79</v>
      </c>
      <c r="C2" s="668"/>
      <c r="D2" s="668"/>
      <c r="E2" s="668"/>
      <c r="F2" s="668"/>
      <c r="G2" s="668"/>
      <c r="H2" s="668"/>
      <c r="I2" s="668"/>
      <c r="J2" s="668"/>
      <c r="K2" s="668"/>
      <c r="L2" s="668"/>
      <c r="M2" s="668"/>
      <c r="N2" s="669"/>
    </row>
    <row r="3" spans="2:20" ht="15" thickBot="1" x14ac:dyDescent="0.35">
      <c r="B3" s="725" t="s">
        <v>0</v>
      </c>
      <c r="C3" s="725" t="s">
        <v>1</v>
      </c>
      <c r="D3" s="725" t="s">
        <v>2</v>
      </c>
      <c r="E3" s="725" t="s">
        <v>80</v>
      </c>
      <c r="F3" s="725" t="s">
        <v>3</v>
      </c>
      <c r="G3" s="728" t="s">
        <v>4</v>
      </c>
      <c r="H3" s="729"/>
      <c r="I3" s="729"/>
      <c r="J3" s="729"/>
      <c r="K3" s="730"/>
      <c r="L3" s="728" t="s">
        <v>81</v>
      </c>
      <c r="M3" s="729"/>
      <c r="N3" s="730"/>
    </row>
    <row r="4" spans="2:20" ht="15" thickBot="1" x14ac:dyDescent="0.35">
      <c r="B4" s="726"/>
      <c r="C4" s="726"/>
      <c r="D4" s="726"/>
      <c r="E4" s="726"/>
      <c r="F4" s="726"/>
      <c r="G4" s="732" t="s">
        <v>6</v>
      </c>
      <c r="H4" s="733"/>
      <c r="I4" s="732" t="s">
        <v>7</v>
      </c>
      <c r="J4" s="734"/>
      <c r="K4" s="733"/>
      <c r="L4" s="732" t="s">
        <v>6</v>
      </c>
      <c r="M4" s="733"/>
      <c r="N4" s="15" t="s">
        <v>7</v>
      </c>
    </row>
    <row r="5" spans="2:20" ht="21" thickBot="1" x14ac:dyDescent="0.35">
      <c r="B5" s="727"/>
      <c r="C5" s="727"/>
      <c r="D5" s="727"/>
      <c r="E5" s="727"/>
      <c r="F5" s="727"/>
      <c r="G5" s="16" t="s">
        <v>8</v>
      </c>
      <c r="H5" s="16" t="s">
        <v>9</v>
      </c>
      <c r="I5" s="16" t="s">
        <v>41</v>
      </c>
      <c r="J5" s="17" t="s">
        <v>40</v>
      </c>
      <c r="K5" s="18" t="s">
        <v>42</v>
      </c>
      <c r="L5" s="16" t="s">
        <v>8</v>
      </c>
      <c r="M5" s="16" t="s">
        <v>9</v>
      </c>
      <c r="N5" s="226" t="s">
        <v>9</v>
      </c>
      <c r="O5" s="753">
        <v>2024</v>
      </c>
      <c r="P5" s="753"/>
      <c r="Q5" s="753">
        <v>2025</v>
      </c>
      <c r="R5" s="753"/>
      <c r="S5" s="753">
        <v>2026</v>
      </c>
      <c r="T5" s="753"/>
    </row>
    <row r="6" spans="2:20" ht="15" thickBot="1" x14ac:dyDescent="0.35">
      <c r="B6" s="719" t="s">
        <v>11</v>
      </c>
      <c r="C6" s="722" t="s">
        <v>22</v>
      </c>
      <c r="D6" s="722" t="s">
        <v>18</v>
      </c>
      <c r="E6" s="722" t="s">
        <v>18</v>
      </c>
      <c r="F6" s="19" t="s">
        <v>14</v>
      </c>
      <c r="G6" s="517"/>
      <c r="H6" s="518">
        <v>0.11506162773328077</v>
      </c>
      <c r="I6" s="518">
        <v>-2.0731505487585773</v>
      </c>
      <c r="J6" s="519">
        <v>0</v>
      </c>
      <c r="K6" s="519">
        <v>0</v>
      </c>
      <c r="L6" s="520"/>
      <c r="M6" s="520"/>
      <c r="N6" s="316"/>
      <c r="O6" s="521">
        <f>H6/1000</f>
        <v>1.1506162773328076E-4</v>
      </c>
      <c r="P6" s="521">
        <f>I6/1000</f>
        <v>-2.0731505487585774E-3</v>
      </c>
      <c r="Q6" s="522">
        <v>1.2448550414992767E-4</v>
      </c>
      <c r="R6" s="523">
        <v>-6.6080260395304305E-3</v>
      </c>
      <c r="S6" s="276"/>
      <c r="T6" s="276"/>
    </row>
    <row r="7" spans="2:20" ht="15" thickBot="1" x14ac:dyDescent="0.35">
      <c r="B7" s="720"/>
      <c r="C7" s="723"/>
      <c r="D7" s="723"/>
      <c r="E7" s="723"/>
      <c r="F7" s="19" t="s">
        <v>15</v>
      </c>
      <c r="G7" s="517"/>
      <c r="H7" s="518">
        <v>0.11506162773328077</v>
      </c>
      <c r="I7" s="518">
        <v>-2.0731505487585773</v>
      </c>
      <c r="J7" s="519">
        <v>0</v>
      </c>
      <c r="K7" s="519">
        <v>0</v>
      </c>
      <c r="L7" s="520"/>
      <c r="M7" s="520"/>
      <c r="N7" s="316"/>
      <c r="O7" s="521">
        <f t="shared" ref="O7:P29" si="0">H7/1000</f>
        <v>1.1506162773328076E-4</v>
      </c>
      <c r="P7" s="521">
        <f t="shared" si="0"/>
        <v>-2.0731505487585774E-3</v>
      </c>
      <c r="Q7" s="522">
        <v>1.2448550414992767E-4</v>
      </c>
      <c r="R7" s="523">
        <v>-6.6080260395304305E-3</v>
      </c>
      <c r="S7" s="276"/>
      <c r="T7" s="276"/>
    </row>
    <row r="8" spans="2:20" ht="15" thickBot="1" x14ac:dyDescent="0.35">
      <c r="B8" s="720"/>
      <c r="C8" s="724"/>
      <c r="D8" s="724"/>
      <c r="E8" s="724"/>
      <c r="F8" s="19" t="s">
        <v>16</v>
      </c>
      <c r="G8" s="517"/>
      <c r="H8" s="518">
        <v>0.11506162773328077</v>
      </c>
      <c r="I8" s="518">
        <v>-2.0731505487585773</v>
      </c>
      <c r="J8" s="519">
        <v>0</v>
      </c>
      <c r="K8" s="519">
        <v>0</v>
      </c>
      <c r="L8" s="520"/>
      <c r="M8" s="520"/>
      <c r="N8" s="316"/>
      <c r="O8" s="521">
        <f t="shared" si="0"/>
        <v>1.1506162773328076E-4</v>
      </c>
      <c r="P8" s="521">
        <f t="shared" si="0"/>
        <v>-2.0731505487585774E-3</v>
      </c>
      <c r="Q8" s="522">
        <v>1.2448550414992767E-4</v>
      </c>
      <c r="R8" s="523">
        <v>-6.6080260395304305E-3</v>
      </c>
      <c r="S8" s="276"/>
      <c r="T8" s="276"/>
    </row>
    <row r="9" spans="2:20" ht="21" thickBot="1" x14ac:dyDescent="0.35">
      <c r="B9" s="720"/>
      <c r="C9" s="722" t="s">
        <v>17</v>
      </c>
      <c r="D9" s="722" t="s">
        <v>18</v>
      </c>
      <c r="E9" s="20" t="s">
        <v>18</v>
      </c>
      <c r="F9" s="19" t="s">
        <v>19</v>
      </c>
      <c r="G9" s="518"/>
      <c r="H9" s="518">
        <v>0.11506162773328077</v>
      </c>
      <c r="I9" s="518">
        <v>-2.0731505487585773</v>
      </c>
      <c r="J9" s="519">
        <v>0</v>
      </c>
      <c r="K9" s="519">
        <v>0</v>
      </c>
      <c r="L9" s="524"/>
      <c r="M9" s="520"/>
      <c r="N9" s="316"/>
      <c r="O9" s="521">
        <f t="shared" si="0"/>
        <v>1.1506162773328076E-4</v>
      </c>
      <c r="P9" s="521">
        <f t="shared" si="0"/>
        <v>-2.0731505487585774E-3</v>
      </c>
      <c r="Q9" s="522">
        <v>1.2448550414992767E-4</v>
      </c>
      <c r="R9" s="523">
        <v>-6.6080260395304305E-3</v>
      </c>
      <c r="S9" s="276"/>
      <c r="T9" s="276"/>
    </row>
    <row r="10" spans="2:20" ht="23.4" thickBot="1" x14ac:dyDescent="0.35">
      <c r="B10" s="721"/>
      <c r="C10" s="724"/>
      <c r="D10" s="724"/>
      <c r="E10" s="20" t="s">
        <v>83</v>
      </c>
      <c r="F10" s="19" t="s">
        <v>19</v>
      </c>
      <c r="G10" s="518"/>
      <c r="H10" s="518">
        <v>0</v>
      </c>
      <c r="I10" s="518">
        <v>-2.0731505487585773</v>
      </c>
      <c r="J10" s="519">
        <v>0</v>
      </c>
      <c r="K10" s="519">
        <v>0</v>
      </c>
      <c r="L10" s="524"/>
      <c r="M10" s="520"/>
      <c r="N10" s="316"/>
      <c r="O10" s="521"/>
      <c r="P10" s="521">
        <f t="shared" si="0"/>
        <v>-2.0731505487585774E-3</v>
      </c>
      <c r="Q10" s="522">
        <v>0</v>
      </c>
      <c r="R10" s="523">
        <v>-6.6080260395304305E-3</v>
      </c>
      <c r="S10" s="276"/>
      <c r="T10" s="276"/>
    </row>
    <row r="11" spans="2:20" ht="15" thickBot="1" x14ac:dyDescent="0.35">
      <c r="B11" s="535" t="s">
        <v>208</v>
      </c>
      <c r="C11" s="536"/>
      <c r="D11" s="536"/>
      <c r="E11" s="558"/>
      <c r="F11" s="19"/>
      <c r="G11" s="518"/>
      <c r="H11" s="518"/>
      <c r="I11" s="518"/>
      <c r="J11" s="519"/>
      <c r="K11" s="519"/>
      <c r="L11" s="524"/>
      <c r="M11" s="520"/>
      <c r="N11" s="316"/>
      <c r="O11" s="521"/>
      <c r="P11" s="521"/>
      <c r="Q11" s="522"/>
      <c r="R11" s="523"/>
      <c r="S11" s="276"/>
      <c r="T11" s="559" t="s">
        <v>209</v>
      </c>
    </row>
    <row r="12" spans="2:20" ht="15" thickBot="1" x14ac:dyDescent="0.35">
      <c r="B12" s="719" t="s">
        <v>21</v>
      </c>
      <c r="C12" s="722" t="s">
        <v>22</v>
      </c>
      <c r="D12" s="722" t="s">
        <v>23</v>
      </c>
      <c r="E12" s="722" t="s">
        <v>19</v>
      </c>
      <c r="F12" s="19" t="s">
        <v>14</v>
      </c>
      <c r="G12" s="517"/>
      <c r="H12" s="518">
        <v>0.11506162773328077</v>
      </c>
      <c r="I12" s="518">
        <v>-2.0731505487585773</v>
      </c>
      <c r="J12" s="519">
        <v>0</v>
      </c>
      <c r="K12" s="519">
        <v>0</v>
      </c>
      <c r="L12" s="520"/>
      <c r="M12" s="520"/>
      <c r="N12" s="316"/>
      <c r="O12" s="521">
        <f t="shared" si="0"/>
        <v>1.1506162773328076E-4</v>
      </c>
      <c r="P12" s="521">
        <f t="shared" si="0"/>
        <v>-2.0731505487585774E-3</v>
      </c>
      <c r="Q12" s="522">
        <v>1.2448550414992767E-4</v>
      </c>
      <c r="R12" s="523">
        <v>-6.6080260395304305E-3</v>
      </c>
      <c r="S12" s="276"/>
      <c r="T12" s="276"/>
    </row>
    <row r="13" spans="2:20" ht="15" thickBot="1" x14ac:dyDescent="0.35">
      <c r="B13" s="720"/>
      <c r="C13" s="723"/>
      <c r="D13" s="723"/>
      <c r="E13" s="723"/>
      <c r="F13" s="19" t="s">
        <v>15</v>
      </c>
      <c r="G13" s="517"/>
      <c r="H13" s="518">
        <v>0.11506162773328077</v>
      </c>
      <c r="I13" s="518">
        <v>-2.0731505487585773</v>
      </c>
      <c r="J13" s="519">
        <v>0</v>
      </c>
      <c r="K13" s="519">
        <v>0</v>
      </c>
      <c r="L13" s="520"/>
      <c r="M13" s="520"/>
      <c r="N13" s="316"/>
      <c r="O13" s="521">
        <f t="shared" si="0"/>
        <v>1.1506162773328076E-4</v>
      </c>
      <c r="P13" s="521">
        <f t="shared" si="0"/>
        <v>-2.0731505487585774E-3</v>
      </c>
      <c r="Q13" s="522">
        <v>1.2448550414992767E-4</v>
      </c>
      <c r="R13" s="523">
        <v>-6.6080260395304305E-3</v>
      </c>
      <c r="S13" s="276"/>
      <c r="T13" s="276"/>
    </row>
    <row r="14" spans="2:20" ht="15" thickBot="1" x14ac:dyDescent="0.35">
      <c r="B14" s="720"/>
      <c r="C14" s="724"/>
      <c r="D14" s="724"/>
      <c r="E14" s="724"/>
      <c r="F14" s="19" t="s">
        <v>16</v>
      </c>
      <c r="G14" s="517"/>
      <c r="H14" s="518">
        <v>0.11506162773328077</v>
      </c>
      <c r="I14" s="518">
        <v>-2.0731505487585773</v>
      </c>
      <c r="J14" s="519">
        <v>0</v>
      </c>
      <c r="K14" s="519">
        <v>0</v>
      </c>
      <c r="L14" s="520"/>
      <c r="M14" s="520"/>
      <c r="N14" s="316"/>
      <c r="O14" s="521">
        <f t="shared" si="0"/>
        <v>1.1506162773328076E-4</v>
      </c>
      <c r="P14" s="521">
        <f t="shared" si="0"/>
        <v>-2.0731505487585774E-3</v>
      </c>
      <c r="Q14" s="522">
        <v>1.2448550414992767E-4</v>
      </c>
      <c r="R14" s="523">
        <v>-6.6080260395304305E-3</v>
      </c>
      <c r="S14" s="276"/>
      <c r="T14" s="276"/>
    </row>
    <row r="15" spans="2:20" ht="21" thickBot="1" x14ac:dyDescent="0.35">
      <c r="B15" s="720"/>
      <c r="C15" s="20" t="s">
        <v>17</v>
      </c>
      <c r="D15" s="20" t="s">
        <v>23</v>
      </c>
      <c r="E15" s="20" t="s">
        <v>19</v>
      </c>
      <c r="F15" s="19" t="s">
        <v>19</v>
      </c>
      <c r="G15" s="517"/>
      <c r="H15" s="518">
        <v>0.11506162773328077</v>
      </c>
      <c r="I15" s="518">
        <v>-2.0731505487585773</v>
      </c>
      <c r="J15" s="519">
        <v>0</v>
      </c>
      <c r="K15" s="519">
        <v>0</v>
      </c>
      <c r="L15" s="520"/>
      <c r="M15" s="520"/>
      <c r="N15" s="316"/>
      <c r="O15" s="521">
        <f t="shared" si="0"/>
        <v>1.1506162773328076E-4</v>
      </c>
      <c r="P15" s="521">
        <f t="shared" si="0"/>
        <v>-2.0731505487585774E-3</v>
      </c>
      <c r="Q15" s="522">
        <v>1.2448550414992767E-4</v>
      </c>
      <c r="R15" s="523">
        <v>-6.6080260395304305E-3</v>
      </c>
      <c r="S15" s="276"/>
      <c r="T15" s="276"/>
    </row>
    <row r="16" spans="2:20" ht="15" thickBot="1" x14ac:dyDescent="0.35">
      <c r="B16" s="720"/>
      <c r="C16" s="722" t="s">
        <v>22</v>
      </c>
      <c r="D16" s="722" t="s">
        <v>23</v>
      </c>
      <c r="E16" s="722" t="s">
        <v>84</v>
      </c>
      <c r="F16" s="19" t="s">
        <v>14</v>
      </c>
      <c r="G16" s="517"/>
      <c r="H16" s="518">
        <v>0.11506162773328077</v>
      </c>
      <c r="I16" s="518">
        <v>-2.0731505487585773</v>
      </c>
      <c r="J16" s="519">
        <v>0</v>
      </c>
      <c r="K16" s="519">
        <v>0</v>
      </c>
      <c r="L16" s="520"/>
      <c r="M16" s="520"/>
      <c r="N16" s="316"/>
      <c r="O16" s="521">
        <f t="shared" si="0"/>
        <v>1.1506162773328076E-4</v>
      </c>
      <c r="P16" s="521">
        <f t="shared" si="0"/>
        <v>-2.0731505487585774E-3</v>
      </c>
      <c r="Q16" s="522">
        <v>1.2448550414992767E-4</v>
      </c>
      <c r="R16" s="523">
        <v>-6.6080260395304305E-3</v>
      </c>
      <c r="S16" s="276"/>
      <c r="T16" s="276"/>
    </row>
    <row r="17" spans="2:20" ht="15" thickBot="1" x14ac:dyDescent="0.35">
      <c r="B17" s="720"/>
      <c r="C17" s="723"/>
      <c r="D17" s="723"/>
      <c r="E17" s="723"/>
      <c r="F17" s="19" t="s">
        <v>15</v>
      </c>
      <c r="G17" s="517"/>
      <c r="H17" s="518">
        <v>0.11506162773328077</v>
      </c>
      <c r="I17" s="518">
        <v>-2.0731505487585773</v>
      </c>
      <c r="J17" s="519">
        <v>0</v>
      </c>
      <c r="K17" s="519">
        <v>0</v>
      </c>
      <c r="L17" s="520"/>
      <c r="M17" s="520"/>
      <c r="N17" s="316"/>
      <c r="O17" s="521">
        <f t="shared" si="0"/>
        <v>1.1506162773328076E-4</v>
      </c>
      <c r="P17" s="521">
        <f t="shared" si="0"/>
        <v>-2.0731505487585774E-3</v>
      </c>
      <c r="Q17" s="522">
        <v>1.2448550414992767E-4</v>
      </c>
      <c r="R17" s="523">
        <v>-6.6080260395304305E-3</v>
      </c>
      <c r="S17" s="276"/>
      <c r="T17" s="276"/>
    </row>
    <row r="18" spans="2:20" ht="15" thickBot="1" x14ac:dyDescent="0.35">
      <c r="B18" s="720"/>
      <c r="C18" s="724"/>
      <c r="D18" s="724"/>
      <c r="E18" s="724"/>
      <c r="F18" s="19" t="s">
        <v>16</v>
      </c>
      <c r="G18" s="517"/>
      <c r="H18" s="518">
        <v>0.11506162773328077</v>
      </c>
      <c r="I18" s="518">
        <v>-2.0731505487585773</v>
      </c>
      <c r="J18" s="519">
        <v>0</v>
      </c>
      <c r="K18" s="519">
        <v>0</v>
      </c>
      <c r="L18" s="520"/>
      <c r="M18" s="520"/>
      <c r="N18" s="316"/>
      <c r="O18" s="521">
        <f t="shared" si="0"/>
        <v>1.1506162773328076E-4</v>
      </c>
      <c r="P18" s="521">
        <f t="shared" si="0"/>
        <v>-2.0731505487585774E-3</v>
      </c>
      <c r="Q18" s="522">
        <v>1.2448550414992767E-4</v>
      </c>
      <c r="R18" s="523">
        <v>-6.6080260395304305E-3</v>
      </c>
      <c r="S18" s="276"/>
      <c r="T18" s="276"/>
    </row>
    <row r="19" spans="2:20" ht="41.4" thickBot="1" x14ac:dyDescent="0.35">
      <c r="B19" s="720"/>
      <c r="C19" s="20" t="s">
        <v>17</v>
      </c>
      <c r="D19" s="20" t="s">
        <v>23</v>
      </c>
      <c r="E19" s="20" t="s">
        <v>84</v>
      </c>
      <c r="F19" s="19" t="s">
        <v>19</v>
      </c>
      <c r="G19" s="517"/>
      <c r="H19" s="518">
        <v>0.11506162773328077</v>
      </c>
      <c r="I19" s="518">
        <v>-2.0731505487585773</v>
      </c>
      <c r="J19" s="519">
        <v>0</v>
      </c>
      <c r="K19" s="519">
        <v>0</v>
      </c>
      <c r="L19" s="520"/>
      <c r="M19" s="520"/>
      <c r="N19" s="316"/>
      <c r="O19" s="521">
        <f t="shared" si="0"/>
        <v>1.1506162773328076E-4</v>
      </c>
      <c r="P19" s="521">
        <f t="shared" si="0"/>
        <v>-2.0731505487585774E-3</v>
      </c>
      <c r="Q19" s="522">
        <v>1.2448550414992767E-4</v>
      </c>
      <c r="R19" s="523">
        <v>-6.6080260395304305E-3</v>
      </c>
      <c r="S19" s="276"/>
      <c r="T19" s="276"/>
    </row>
    <row r="20" spans="2:20" ht="15" thickBot="1" x14ac:dyDescent="0.35">
      <c r="B20" s="720"/>
      <c r="C20" s="722" t="s">
        <v>22</v>
      </c>
      <c r="D20" s="722" t="s">
        <v>23</v>
      </c>
      <c r="E20" s="722" t="s">
        <v>85</v>
      </c>
      <c r="F20" s="19" t="s">
        <v>14</v>
      </c>
      <c r="G20" s="517"/>
      <c r="H20" s="518">
        <v>0.11506162773328077</v>
      </c>
      <c r="I20" s="518">
        <v>-2.0731505487585773</v>
      </c>
      <c r="J20" s="519">
        <v>0</v>
      </c>
      <c r="K20" s="519">
        <v>0</v>
      </c>
      <c r="L20" s="520"/>
      <c r="M20" s="520"/>
      <c r="N20" s="316"/>
      <c r="O20" s="521">
        <f t="shared" si="0"/>
        <v>1.1506162773328076E-4</v>
      </c>
      <c r="P20" s="521">
        <f t="shared" si="0"/>
        <v>-2.0731505487585774E-3</v>
      </c>
      <c r="Q20" s="522">
        <v>1.2448550414992767E-4</v>
      </c>
      <c r="R20" s="523">
        <v>-6.6080260395304305E-3</v>
      </c>
      <c r="S20" s="276"/>
      <c r="T20" s="276"/>
    </row>
    <row r="21" spans="2:20" ht="15" thickBot="1" x14ac:dyDescent="0.35">
      <c r="B21" s="720"/>
      <c r="C21" s="723"/>
      <c r="D21" s="723"/>
      <c r="E21" s="723"/>
      <c r="F21" s="19" t="s">
        <v>15</v>
      </c>
      <c r="G21" s="517"/>
      <c r="H21" s="518">
        <v>0.11506162773328077</v>
      </c>
      <c r="I21" s="518">
        <v>-2.0731505487585773</v>
      </c>
      <c r="J21" s="519">
        <v>0</v>
      </c>
      <c r="K21" s="519">
        <v>0</v>
      </c>
      <c r="L21" s="520"/>
      <c r="M21" s="520"/>
      <c r="N21" s="316"/>
      <c r="O21" s="521">
        <f t="shared" si="0"/>
        <v>1.1506162773328076E-4</v>
      </c>
      <c r="P21" s="521">
        <f t="shared" si="0"/>
        <v>-2.0731505487585774E-3</v>
      </c>
      <c r="Q21" s="522">
        <v>1.2448550414992767E-4</v>
      </c>
      <c r="R21" s="523">
        <v>-6.6080260395304305E-3</v>
      </c>
      <c r="S21" s="276"/>
      <c r="T21" s="276"/>
    </row>
    <row r="22" spans="2:20" ht="15" thickBot="1" x14ac:dyDescent="0.35">
      <c r="B22" s="720"/>
      <c r="C22" s="724"/>
      <c r="D22" s="724"/>
      <c r="E22" s="724"/>
      <c r="F22" s="19" t="s">
        <v>16</v>
      </c>
      <c r="G22" s="517"/>
      <c r="H22" s="518">
        <v>0.11506162773328077</v>
      </c>
      <c r="I22" s="518">
        <v>-2.0731505487585773</v>
      </c>
      <c r="J22" s="519">
        <v>0</v>
      </c>
      <c r="K22" s="519">
        <v>0</v>
      </c>
      <c r="L22" s="520"/>
      <c r="M22" s="520"/>
      <c r="N22" s="316"/>
      <c r="O22" s="521">
        <f t="shared" si="0"/>
        <v>1.1506162773328076E-4</v>
      </c>
      <c r="P22" s="521">
        <f t="shared" si="0"/>
        <v>-2.0731505487585774E-3</v>
      </c>
      <c r="Q22" s="522">
        <v>1.2448550414992767E-4</v>
      </c>
      <c r="R22" s="523">
        <v>-6.6080260395304305E-3</v>
      </c>
      <c r="S22" s="276"/>
      <c r="T22" s="276"/>
    </row>
    <row r="23" spans="2:20" ht="49.2" customHeight="1" thickBot="1" x14ac:dyDescent="0.35">
      <c r="B23" s="721"/>
      <c r="C23" s="20" t="s">
        <v>17</v>
      </c>
      <c r="D23" s="20" t="s">
        <v>23</v>
      </c>
      <c r="E23" s="20" t="s">
        <v>85</v>
      </c>
      <c r="F23" s="19" t="s">
        <v>19</v>
      </c>
      <c r="G23" s="517"/>
      <c r="H23" s="518">
        <v>0.11506162773328077</v>
      </c>
      <c r="I23" s="518">
        <v>-2.0731505487585773</v>
      </c>
      <c r="J23" s="519">
        <v>0</v>
      </c>
      <c r="K23" s="519">
        <v>0</v>
      </c>
      <c r="L23" s="520"/>
      <c r="M23" s="520"/>
      <c r="N23" s="316"/>
      <c r="O23" s="521">
        <f t="shared" si="0"/>
        <v>1.1506162773328076E-4</v>
      </c>
      <c r="P23" s="521">
        <f t="shared" si="0"/>
        <v>-2.0731505487585774E-3</v>
      </c>
      <c r="Q23" s="522">
        <v>1.2448550414992767E-4</v>
      </c>
      <c r="R23" s="523">
        <v>-6.6080260395304305E-3</v>
      </c>
      <c r="S23" s="276"/>
      <c r="T23" s="276"/>
    </row>
    <row r="24" spans="2:20" ht="15" thickBot="1" x14ac:dyDescent="0.35">
      <c r="B24" s="719" t="s">
        <v>24</v>
      </c>
      <c r="C24" s="722" t="s">
        <v>22</v>
      </c>
      <c r="D24" s="722" t="s">
        <v>19</v>
      </c>
      <c r="E24" s="722" t="s">
        <v>19</v>
      </c>
      <c r="F24" s="19" t="s">
        <v>14</v>
      </c>
      <c r="G24" s="517"/>
      <c r="H24" s="518">
        <v>0.11506162773328077</v>
      </c>
      <c r="I24" s="518">
        <v>-2.0731505487585773</v>
      </c>
      <c r="J24" s="519">
        <v>0</v>
      </c>
      <c r="K24" s="519">
        <v>0</v>
      </c>
      <c r="L24" s="520"/>
      <c r="M24" s="520"/>
      <c r="N24" s="316"/>
      <c r="O24" s="521">
        <f t="shared" si="0"/>
        <v>1.1506162773328076E-4</v>
      </c>
      <c r="P24" s="521">
        <f t="shared" si="0"/>
        <v>-2.0731505487585774E-3</v>
      </c>
      <c r="Q24" s="522">
        <v>1.2448550414992767E-4</v>
      </c>
      <c r="R24" s="523">
        <v>-6.6080260395304305E-3</v>
      </c>
      <c r="S24" s="276"/>
      <c r="T24" s="276"/>
    </row>
    <row r="25" spans="2:20" ht="15" thickBot="1" x14ac:dyDescent="0.35">
      <c r="B25" s="720"/>
      <c r="C25" s="723"/>
      <c r="D25" s="723"/>
      <c r="E25" s="723"/>
      <c r="F25" s="19" t="s">
        <v>15</v>
      </c>
      <c r="G25" s="517"/>
      <c r="H25" s="518">
        <v>0.11506162773328077</v>
      </c>
      <c r="I25" s="518">
        <v>-2.0731505487585773</v>
      </c>
      <c r="J25" s="519">
        <v>0</v>
      </c>
      <c r="K25" s="519">
        <v>0</v>
      </c>
      <c r="L25" s="520"/>
      <c r="M25" s="520"/>
      <c r="N25" s="316"/>
      <c r="O25" s="521">
        <f t="shared" si="0"/>
        <v>1.1506162773328076E-4</v>
      </c>
      <c r="P25" s="521">
        <f t="shared" si="0"/>
        <v>-2.0731505487585774E-3</v>
      </c>
      <c r="Q25" s="522">
        <v>1.2448550414992767E-4</v>
      </c>
      <c r="R25" s="523">
        <v>-6.6080260395304305E-3</v>
      </c>
      <c r="S25" s="276"/>
      <c r="T25" s="276"/>
    </row>
    <row r="26" spans="2:20" ht="15" thickBot="1" x14ac:dyDescent="0.35">
      <c r="B26" s="720"/>
      <c r="C26" s="724"/>
      <c r="D26" s="724"/>
      <c r="E26" s="724"/>
      <c r="F26" s="19" t="s">
        <v>16</v>
      </c>
      <c r="G26" s="517"/>
      <c r="H26" s="518">
        <v>0.11506162773328077</v>
      </c>
      <c r="I26" s="518">
        <v>-2.0731505487585773</v>
      </c>
      <c r="J26" s="519">
        <v>0</v>
      </c>
      <c r="K26" s="519">
        <v>0</v>
      </c>
      <c r="L26" s="520"/>
      <c r="M26" s="520"/>
      <c r="N26" s="316"/>
      <c r="O26" s="521">
        <f t="shared" si="0"/>
        <v>1.1506162773328076E-4</v>
      </c>
      <c r="P26" s="521">
        <f t="shared" si="0"/>
        <v>-2.0731505487585774E-3</v>
      </c>
      <c r="Q26" s="522">
        <v>1.2448550414992767E-4</v>
      </c>
      <c r="R26" s="523">
        <v>-6.6080260395304305E-3</v>
      </c>
      <c r="S26" s="276"/>
      <c r="T26" s="276"/>
    </row>
    <row r="27" spans="2:20" ht="21" thickBot="1" x14ac:dyDescent="0.35">
      <c r="B27" s="721"/>
      <c r="C27" s="20" t="s">
        <v>17</v>
      </c>
      <c r="D27" s="20" t="s">
        <v>19</v>
      </c>
      <c r="E27" s="20" t="s">
        <v>19</v>
      </c>
      <c r="F27" s="19" t="s">
        <v>19</v>
      </c>
      <c r="G27" s="517"/>
      <c r="H27" s="518">
        <v>0.11506162773328077</v>
      </c>
      <c r="I27" s="518">
        <v>-2.0731505487585773</v>
      </c>
      <c r="J27" s="519">
        <v>0</v>
      </c>
      <c r="K27" s="519">
        <v>0</v>
      </c>
      <c r="L27" s="520"/>
      <c r="M27" s="520"/>
      <c r="N27" s="316"/>
      <c r="O27" s="521">
        <f t="shared" si="0"/>
        <v>1.1506162773328076E-4</v>
      </c>
      <c r="P27" s="521">
        <f t="shared" si="0"/>
        <v>-2.0731505487585774E-3</v>
      </c>
      <c r="Q27" s="522">
        <v>1.2448550414992767E-4</v>
      </c>
      <c r="R27" s="523">
        <v>-6.6080260395304305E-3</v>
      </c>
      <c r="S27" s="276"/>
      <c r="T27" s="276"/>
    </row>
    <row r="28" spans="2:20" ht="41.4" thickBot="1" x14ac:dyDescent="0.35">
      <c r="B28" s="719" t="s">
        <v>26</v>
      </c>
      <c r="C28" s="722" t="s">
        <v>17</v>
      </c>
      <c r="D28" s="722" t="s">
        <v>86</v>
      </c>
      <c r="E28" s="20" t="s">
        <v>87</v>
      </c>
      <c r="F28" s="19" t="s">
        <v>19</v>
      </c>
      <c r="G28" s="517"/>
      <c r="H28" s="518">
        <v>6.3283895253304509E-2</v>
      </c>
      <c r="I28" s="518">
        <v>-1.1402328018172183</v>
      </c>
      <c r="J28" s="519">
        <v>0</v>
      </c>
      <c r="K28" s="519">
        <v>0</v>
      </c>
      <c r="L28" s="520"/>
      <c r="M28" s="520"/>
      <c r="N28" s="316"/>
      <c r="O28" s="521">
        <f t="shared" si="0"/>
        <v>6.328389525330451E-5</v>
      </c>
      <c r="P28" s="521">
        <f t="shared" si="0"/>
        <v>-1.1402328018172182E-3</v>
      </c>
      <c r="Q28" s="522">
        <v>6.8467027282460423E-5</v>
      </c>
      <c r="R28" s="523">
        <v>-3.6344143217417399E-3</v>
      </c>
      <c r="S28" s="522">
        <v>6.8467027282460423E-5</v>
      </c>
      <c r="T28" s="523">
        <v>-7.0025999999999997E-4</v>
      </c>
    </row>
    <row r="29" spans="2:20" ht="31.2" thickBot="1" x14ac:dyDescent="0.35">
      <c r="B29" s="721"/>
      <c r="C29" s="724"/>
      <c r="D29" s="724"/>
      <c r="E29" s="20" t="s">
        <v>88</v>
      </c>
      <c r="F29" s="19" t="s">
        <v>19</v>
      </c>
      <c r="G29" s="517"/>
      <c r="H29" s="518">
        <v>6.903697663996862E-2</v>
      </c>
      <c r="I29" s="518">
        <v>-1.2438903292551442</v>
      </c>
      <c r="J29" s="519">
        <v>0</v>
      </c>
      <c r="K29" s="519">
        <v>0</v>
      </c>
      <c r="L29" s="520"/>
      <c r="M29" s="520"/>
      <c r="N29" s="316"/>
      <c r="O29" s="521">
        <f t="shared" si="0"/>
        <v>6.9036976639968626E-5</v>
      </c>
      <c r="P29" s="521">
        <f t="shared" si="0"/>
        <v>-1.2438903292551443E-3</v>
      </c>
      <c r="Q29" s="522">
        <v>7.469130248995685E-5</v>
      </c>
      <c r="R29" s="523">
        <v>-3.9648156237182602E-3</v>
      </c>
      <c r="S29" s="522">
        <v>7.469130248995685E-5</v>
      </c>
      <c r="T29" s="523">
        <v>-7.6391999999999996E-4</v>
      </c>
    </row>
  </sheetData>
  <mergeCells count="37">
    <mergeCell ref="B2:N2"/>
    <mergeCell ref="B3:B5"/>
    <mergeCell ref="C3:C5"/>
    <mergeCell ref="D3:D5"/>
    <mergeCell ref="E3:E5"/>
    <mergeCell ref="F3:F5"/>
    <mergeCell ref="G3:K3"/>
    <mergeCell ref="L3:N3"/>
    <mergeCell ref="G4:H4"/>
    <mergeCell ref="I4:K4"/>
    <mergeCell ref="L4:M4"/>
    <mergeCell ref="B28:B29"/>
    <mergeCell ref="C28:C29"/>
    <mergeCell ref="D28:D29"/>
    <mergeCell ref="B12:B23"/>
    <mergeCell ref="C12:C14"/>
    <mergeCell ref="D12:D14"/>
    <mergeCell ref="C16:C18"/>
    <mergeCell ref="D16:D18"/>
    <mergeCell ref="C20:C22"/>
    <mergeCell ref="D20:D22"/>
    <mergeCell ref="S5:T5"/>
    <mergeCell ref="B24:B27"/>
    <mergeCell ref="C24:C26"/>
    <mergeCell ref="D24:D26"/>
    <mergeCell ref="E24:E26"/>
    <mergeCell ref="E12:E14"/>
    <mergeCell ref="E16:E18"/>
    <mergeCell ref="E20:E22"/>
    <mergeCell ref="O5:P5"/>
    <mergeCell ref="Q5:R5"/>
    <mergeCell ref="B6:B10"/>
    <mergeCell ref="C6:C8"/>
    <mergeCell ref="D6:D8"/>
    <mergeCell ref="E6:E8"/>
    <mergeCell ref="C9:C10"/>
    <mergeCell ref="D9:D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>
    <tabColor rgb="FFFFFF00"/>
  </sheetPr>
  <dimension ref="A1:Y131"/>
  <sheetViews>
    <sheetView showGridLines="0" topLeftCell="A30" zoomScale="115" zoomScaleNormal="115" workbookViewId="0">
      <selection activeCell="I34" sqref="I34"/>
    </sheetView>
  </sheetViews>
  <sheetFormatPr defaultColWidth="9.21875" defaultRowHeight="14.4" x14ac:dyDescent="0.3"/>
  <cols>
    <col min="1" max="1" width="5.44140625" style="27" customWidth="1"/>
    <col min="2" max="2" width="28.5546875" style="27" bestFit="1" customWidth="1"/>
    <col min="3" max="3" width="13.21875" style="27" customWidth="1"/>
    <col min="4" max="4" width="14.5546875" style="27" customWidth="1"/>
    <col min="5" max="5" width="13" style="27" bestFit="1" customWidth="1"/>
    <col min="6" max="6" width="12.21875" style="27" bestFit="1" customWidth="1"/>
    <col min="7" max="8" width="11.77734375" style="27" customWidth="1"/>
    <col min="9" max="9" width="16.44140625" style="27" customWidth="1"/>
    <col min="10" max="10" width="12.77734375" style="27" customWidth="1"/>
    <col min="11" max="11" width="12.5546875" style="27" customWidth="1"/>
    <col min="12" max="12" width="11.77734375" style="27" customWidth="1"/>
    <col min="13" max="13" width="16.21875" style="27" customWidth="1"/>
    <col min="14" max="14" width="14.44140625" style="27" customWidth="1"/>
    <col min="15" max="16" width="13.5546875" style="27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208</v>
      </c>
      <c r="E2" s="438" t="s">
        <v>211</v>
      </c>
      <c r="F2" s="439">
        <v>46023</v>
      </c>
      <c r="G2" s="25"/>
      <c r="J2" s="25"/>
      <c r="K2" s="25"/>
    </row>
    <row r="4" spans="1:20" ht="15" customHeight="1" x14ac:dyDescent="0.3">
      <c r="B4" s="767" t="s">
        <v>212</v>
      </c>
      <c r="C4" s="769" t="s">
        <v>213</v>
      </c>
      <c r="D4" s="769"/>
      <c r="E4" s="769"/>
      <c r="F4" s="769" t="s">
        <v>214</v>
      </c>
      <c r="G4" s="769"/>
      <c r="H4" s="769"/>
      <c r="I4" s="769" t="s">
        <v>215</v>
      </c>
      <c r="J4" s="769"/>
      <c r="K4" s="769"/>
      <c r="M4" s="438" t="s">
        <v>211</v>
      </c>
      <c r="N4" s="439">
        <v>46023</v>
      </c>
      <c r="O4" s="754" t="s">
        <v>216</v>
      </c>
      <c r="P4" s="755"/>
      <c r="Q4" s="756"/>
    </row>
    <row r="5" spans="1:20" x14ac:dyDescent="0.3">
      <c r="B5" s="768"/>
      <c r="C5" s="242" t="s">
        <v>217</v>
      </c>
      <c r="D5" s="242" t="s">
        <v>7</v>
      </c>
      <c r="E5" s="242" t="s">
        <v>218</v>
      </c>
      <c r="F5" s="242" t="s">
        <v>217</v>
      </c>
      <c r="G5" s="242" t="s">
        <v>7</v>
      </c>
      <c r="H5" s="242" t="s">
        <v>218</v>
      </c>
      <c r="I5" s="243" t="s">
        <v>217</v>
      </c>
      <c r="J5" s="243" t="s">
        <v>7</v>
      </c>
      <c r="K5" s="243" t="s">
        <v>218</v>
      </c>
      <c r="M5" s="336"/>
      <c r="N5" s="336"/>
      <c r="O5" s="336"/>
      <c r="P5" s="336"/>
      <c r="Q5" s="336"/>
    </row>
    <row r="6" spans="1:20" x14ac:dyDescent="0.3">
      <c r="B6" s="449" t="s">
        <v>11</v>
      </c>
      <c r="C6" s="475">
        <v>0.39694999999999997</v>
      </c>
      <c r="D6" s="475">
        <v>0.28093000000000001</v>
      </c>
      <c r="E6" s="475">
        <f t="shared" ref="E6:E8" si="0">C6+D6</f>
        <v>0.67788000000000004</v>
      </c>
      <c r="F6" s="476">
        <v>0.45667000000000002</v>
      </c>
      <c r="G6" s="476">
        <v>0.33002999999999999</v>
      </c>
      <c r="H6" s="475">
        <f t="shared" ref="H6:H8" si="1">F6+G6</f>
        <v>0.78669999999999995</v>
      </c>
      <c r="I6" s="475">
        <v>0.45667000000000002</v>
      </c>
      <c r="J6" s="475">
        <v>0.33002999999999999</v>
      </c>
      <c r="K6" s="475">
        <f t="shared" ref="K6:K8" si="2">I6+J6</f>
        <v>0.78669999999999995</v>
      </c>
      <c r="M6" s="507" t="s">
        <v>219</v>
      </c>
      <c r="N6" s="507" t="s">
        <v>220</v>
      </c>
      <c r="O6" s="507" t="s">
        <v>221</v>
      </c>
      <c r="P6" s="507" t="s">
        <v>222</v>
      </c>
      <c r="Q6" s="507" t="s">
        <v>223</v>
      </c>
    </row>
    <row r="7" spans="1:20" ht="16.5" customHeight="1" x14ac:dyDescent="0.3">
      <c r="A7" s="27" t="s">
        <v>210</v>
      </c>
      <c r="B7" s="449" t="s">
        <v>208</v>
      </c>
      <c r="C7" s="475"/>
      <c r="D7" s="475"/>
      <c r="E7" s="475"/>
      <c r="F7" s="476">
        <v>0.31629000000000002</v>
      </c>
      <c r="G7" s="476">
        <v>0.30475000000000002</v>
      </c>
      <c r="H7" s="475"/>
      <c r="I7" s="475">
        <f>F7</f>
        <v>0.31629000000000002</v>
      </c>
      <c r="J7" s="475">
        <f>G7</f>
        <v>0.30475000000000002</v>
      </c>
      <c r="K7" s="475"/>
      <c r="M7" s="590">
        <f>'B1C ICMS'!B26</f>
        <v>46125</v>
      </c>
      <c r="N7" s="504">
        <f>IF((N4-B26-1)&lt;0,0,(N4-B26-1))</f>
        <v>0</v>
      </c>
      <c r="O7" s="504">
        <f>E26-N4+1</f>
        <v>132</v>
      </c>
      <c r="P7" s="590">
        <f>'B1C ICMS'!E26</f>
        <v>46155</v>
      </c>
      <c r="Q7" s="590">
        <f>E26</f>
        <v>46154</v>
      </c>
    </row>
    <row r="8" spans="1:20" customFormat="1" x14ac:dyDescent="0.3">
      <c r="B8" s="477" t="s">
        <v>224</v>
      </c>
      <c r="C8" s="475">
        <v>0</v>
      </c>
      <c r="D8" s="475">
        <v>0</v>
      </c>
      <c r="E8" s="475">
        <f t="shared" si="0"/>
        <v>0</v>
      </c>
      <c r="F8" s="475">
        <v>0</v>
      </c>
      <c r="G8" s="532">
        <v>-1.2700000000000001E-3</v>
      </c>
      <c r="H8" s="475">
        <f t="shared" si="1"/>
        <v>-1.2700000000000001E-3</v>
      </c>
      <c r="I8" s="475">
        <v>0</v>
      </c>
      <c r="J8" s="591">
        <f>((D8*$N$7)+(G8*$O$7))/($O$7+$N$7)</f>
        <v>-1.2700000000000001E-3</v>
      </c>
      <c r="K8" s="475">
        <f t="shared" si="2"/>
        <v>-1.2700000000000001E-3</v>
      </c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477" t="s">
        <v>225</v>
      </c>
      <c r="C9" s="570">
        <v>1.2448550414992767E-4</v>
      </c>
      <c r="D9" s="570">
        <v>-6.6080260395304305E-3</v>
      </c>
      <c r="E9" s="560"/>
      <c r="F9" s="560"/>
      <c r="G9" s="571">
        <v>-1.27319E-3</v>
      </c>
      <c r="H9" s="561"/>
      <c r="I9" s="561"/>
      <c r="J9" s="561"/>
      <c r="K9" s="561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27"/>
      <c r="C10" s="27"/>
      <c r="D10" s="27"/>
      <c r="E10" s="27"/>
      <c r="F10" s="27"/>
      <c r="G10" s="27"/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770" t="s">
        <v>226</v>
      </c>
      <c r="C11" s="771"/>
      <c r="D11" s="27"/>
      <c r="E11" s="27"/>
      <c r="F11" s="27"/>
      <c r="G11" s="27"/>
      <c r="J11" s="440" t="s">
        <v>227</v>
      </c>
      <c r="K11" s="440" t="s">
        <v>228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41" t="s">
        <v>229</v>
      </c>
      <c r="C12" s="441" t="s">
        <v>230</v>
      </c>
      <c r="F12" s="27"/>
      <c r="G12" s="27"/>
      <c r="J12" s="442">
        <f>K16</f>
        <v>0.198765645709125</v>
      </c>
      <c r="K12" s="443">
        <f>SUM(D36:D37)*J12</f>
        <v>58.635865484191875</v>
      </c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438" t="s">
        <v>196</v>
      </c>
      <c r="C13" s="444">
        <f>J65</f>
        <v>213.07999999999998</v>
      </c>
      <c r="F13" s="27"/>
      <c r="G13" s="27"/>
      <c r="J13" s="27"/>
      <c r="K13" s="27"/>
      <c r="L13" s="27"/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26"/>
      <c r="C14" s="26"/>
      <c r="D14" s="27"/>
      <c r="E14" s="27"/>
      <c r="F14" s="27"/>
      <c r="G14" s="27"/>
      <c r="I14" s="445" t="s">
        <v>231</v>
      </c>
      <c r="J14" s="445" t="s">
        <v>232</v>
      </c>
      <c r="K14" s="445" t="s">
        <v>233</v>
      </c>
      <c r="L14" s="27"/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46"/>
      <c r="C15" s="447" t="s">
        <v>170</v>
      </c>
      <c r="D15" s="27"/>
      <c r="E15" s="27"/>
      <c r="F15" s="27"/>
      <c r="G15" s="27"/>
      <c r="I15" s="448" t="s">
        <v>234</v>
      </c>
      <c r="J15" s="448" t="s">
        <v>234</v>
      </c>
      <c r="K15" s="448" t="s">
        <v>234</v>
      </c>
      <c r="L15" s="27"/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46" t="s">
        <v>190</v>
      </c>
      <c r="C16" s="444">
        <f>$C$13*(VLOOKUP($B$13,B123:G131,3,0))</f>
        <v>84.740206671832965</v>
      </c>
      <c r="D16" s="27"/>
      <c r="E16" s="27"/>
      <c r="F16" s="27"/>
      <c r="G16" s="27"/>
      <c r="I16" s="449">
        <v>0.19769341067594101</v>
      </c>
      <c r="J16" s="449">
        <v>0.198765645709125</v>
      </c>
      <c r="K16" s="449">
        <f>((I16*$C$26)+(J16*$D$26))/($D$26+$C$26)</f>
        <v>0.198765645709125</v>
      </c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46" t="s">
        <v>192</v>
      </c>
      <c r="C17" s="444">
        <f>$C$13*(VLOOKUP($B$13,B123:G131,5,0))</f>
        <v>53.836257515826041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46" t="s">
        <v>191</v>
      </c>
      <c r="C18" s="444">
        <f>$C$13*(VLOOKUP($B$13,B123:G131,4,0))</f>
        <v>18.139024572852559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46" t="s">
        <v>235</v>
      </c>
      <c r="C19" s="444">
        <f>$C$13*(VLOOKUP($B$13,B123:G131,6,0))</f>
        <v>56.364511239488408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46" t="s">
        <v>236</v>
      </c>
      <c r="C20" s="444">
        <f>L65</f>
        <v>57.770223620740019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447" t="s">
        <v>237</v>
      </c>
      <c r="C21" s="450">
        <f>SUM(C16:C20)</f>
        <v>270.85022362074</v>
      </c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H22"/>
      <c r="I22"/>
      <c r="J22"/>
      <c r="K22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I23" s="25"/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18.600000000000001" customHeight="1" x14ac:dyDescent="0.3">
      <c r="B25" s="511" t="s">
        <v>219</v>
      </c>
      <c r="C25" s="511" t="s">
        <v>220</v>
      </c>
      <c r="D25" s="511" t="s">
        <v>432</v>
      </c>
      <c r="E25" s="511" t="s">
        <v>222</v>
      </c>
      <c r="F25" s="511" t="s">
        <v>223</v>
      </c>
      <c r="G25" s="25"/>
      <c r="H25" s="231">
        <f>EOMONTH(B26,0)+1</f>
        <v>46143</v>
      </c>
      <c r="I25" s="21" t="s">
        <v>74</v>
      </c>
      <c r="J25" s="21" t="s">
        <v>240</v>
      </c>
      <c r="M25" s="9" t="s">
        <v>243</v>
      </c>
      <c r="N25" s="10">
        <v>7.8770000000000007E-2</v>
      </c>
    </row>
    <row r="26" spans="1:25" ht="27.6" x14ac:dyDescent="0.3">
      <c r="B26" s="513">
        <v>46123</v>
      </c>
      <c r="C26" s="514">
        <f>IF((F2-B26-1)&lt;0,0,(F2-B26-1))</f>
        <v>0</v>
      </c>
      <c r="D26" s="514">
        <f>E26-F2+1</f>
        <v>132</v>
      </c>
      <c r="E26" s="513">
        <v>46154</v>
      </c>
      <c r="F26" s="451">
        <f>E26</f>
        <v>46154</v>
      </c>
      <c r="G26" s="25"/>
      <c r="H26" s="22" t="s">
        <v>219</v>
      </c>
      <c r="I26" s="22" t="s">
        <v>244</v>
      </c>
      <c r="J26" s="22" t="s">
        <v>242</v>
      </c>
      <c r="K26" s="22" t="s">
        <v>222</v>
      </c>
      <c r="M26" s="21" t="s">
        <v>245</v>
      </c>
      <c r="N26" s="130">
        <v>0.14199999999999999</v>
      </c>
    </row>
    <row r="27" spans="1:25" x14ac:dyDescent="0.3">
      <c r="G27" s="25"/>
      <c r="H27" s="33">
        <f>B26</f>
        <v>46123</v>
      </c>
      <c r="I27" s="34">
        <f>IF((H25-H27-1)&lt;0,0,(H25-H27-1))</f>
        <v>19</v>
      </c>
      <c r="J27" s="34">
        <f>K27-H25+1</f>
        <v>12</v>
      </c>
      <c r="K27" s="33">
        <f>E26</f>
        <v>46154</v>
      </c>
      <c r="P27"/>
      <c r="Q27"/>
      <c r="R27"/>
    </row>
    <row r="28" spans="1:25" x14ac:dyDescent="0.3">
      <c r="B28" s="216"/>
      <c r="C28" s="216"/>
      <c r="D28" s="216"/>
      <c r="E28" s="216"/>
      <c r="F28" s="216"/>
      <c r="G28" s="25"/>
      <c r="H28" s="216"/>
      <c r="I28" s="217"/>
      <c r="J28" s="217"/>
      <c r="K28" s="216"/>
      <c r="P28"/>
      <c r="Q28"/>
      <c r="R28"/>
    </row>
    <row r="29" spans="1:25" x14ac:dyDescent="0.3">
      <c r="B29" s="216"/>
      <c r="C29" s="216"/>
      <c r="D29" s="216"/>
      <c r="E29" s="216"/>
      <c r="F29" s="216"/>
      <c r="G29" s="25"/>
      <c r="H29" s="216"/>
      <c r="I29" s="217"/>
      <c r="J29" s="217"/>
      <c r="K29" s="216"/>
      <c r="P29"/>
      <c r="Q29"/>
      <c r="R29"/>
    </row>
    <row r="30" spans="1:25" x14ac:dyDescent="0.3">
      <c r="B30" s="592" t="s">
        <v>246</v>
      </c>
      <c r="C30" s="603">
        <v>135</v>
      </c>
      <c r="D30" s="593">
        <v>120</v>
      </c>
      <c r="E30" s="593">
        <f>C30-D30</f>
        <v>15</v>
      </c>
      <c r="F30" s="216"/>
      <c r="G30" s="25"/>
      <c r="H30" s="216"/>
      <c r="I30" s="217"/>
      <c r="J30" s="217"/>
      <c r="K30" s="216"/>
      <c r="P30"/>
      <c r="Q30"/>
      <c r="R30"/>
    </row>
    <row r="31" spans="1:25" x14ac:dyDescent="0.3">
      <c r="B31" s="592" t="s">
        <v>247</v>
      </c>
      <c r="C31" s="593">
        <v>233</v>
      </c>
      <c r="D31" s="593">
        <v>120</v>
      </c>
      <c r="E31" s="593">
        <f>(C31-D31)*0.015</f>
        <v>1.6949999999999998</v>
      </c>
      <c r="F31" s="216"/>
      <c r="G31" s="25"/>
      <c r="H31" s="216"/>
      <c r="I31" s="217"/>
      <c r="J31" s="217"/>
      <c r="K31" s="216"/>
      <c r="P31"/>
      <c r="Q31"/>
      <c r="R31"/>
    </row>
    <row r="32" spans="1:25" x14ac:dyDescent="0.3">
      <c r="B32" s="216"/>
      <c r="C32" s="216"/>
      <c r="D32" s="216"/>
      <c r="E32" s="216"/>
      <c r="F32" s="216"/>
      <c r="G32" s="25"/>
      <c r="H32" s="216"/>
      <c r="I32" s="217"/>
      <c r="J32" s="217"/>
      <c r="K32" s="216"/>
      <c r="P32"/>
      <c r="Q32"/>
      <c r="R32"/>
    </row>
    <row r="33" spans="2:19" ht="15" customHeight="1" x14ac:dyDescent="0.3"/>
    <row r="34" spans="2:19" ht="41.4" x14ac:dyDescent="0.3">
      <c r="B34" s="160" t="s">
        <v>53</v>
      </c>
      <c r="C34" s="160" t="s">
        <v>248</v>
      </c>
      <c r="D34" s="602" t="s">
        <v>249</v>
      </c>
      <c r="E34" s="161" t="s">
        <v>250</v>
      </c>
      <c r="F34" s="161" t="s">
        <v>251</v>
      </c>
      <c r="G34" s="161" t="s">
        <v>252</v>
      </c>
      <c r="H34" s="161" t="s">
        <v>253</v>
      </c>
      <c r="I34" s="601" t="s">
        <v>254</v>
      </c>
      <c r="J34" s="161" t="s">
        <v>255</v>
      </c>
      <c r="K34" s="162" t="s">
        <v>256</v>
      </c>
      <c r="L34" s="160" t="s">
        <v>257</v>
      </c>
      <c r="M34" s="161" t="s">
        <v>258</v>
      </c>
      <c r="N34" s="161" t="s">
        <v>259</v>
      </c>
      <c r="O34" s="161" t="s">
        <v>260</v>
      </c>
    </row>
    <row r="35" spans="2:19" x14ac:dyDescent="0.3"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46"/>
      <c r="M35" s="163"/>
      <c r="N35" s="163"/>
      <c r="O35" s="163"/>
    </row>
    <row r="36" spans="2:19" x14ac:dyDescent="0.3">
      <c r="B36" s="537" t="s">
        <v>261</v>
      </c>
      <c r="C36" s="538" t="s">
        <v>262</v>
      </c>
      <c r="D36" s="539">
        <v>120</v>
      </c>
      <c r="E36" s="540">
        <f>(ROUND(D36*K36,2)+ROUND(G36,2)+ROUND(J36,2))/ROUND(D36,4)</f>
        <v>0.40166666666666667</v>
      </c>
      <c r="F36" s="541">
        <f>ROUND(D36*E36,2)</f>
        <v>48.2</v>
      </c>
      <c r="G36" s="541">
        <f>((D36*K36)/(1-$N$36-$N$37))*($N$36+$N$37)</f>
        <v>1.56909878163074</v>
      </c>
      <c r="H36" s="542">
        <f>ROUND((D36*K36)/(1-$N$36-$N$37)/(1-$I$36),8)</f>
        <v>48.19987656</v>
      </c>
      <c r="I36" s="543">
        <v>0.18</v>
      </c>
      <c r="J36" s="542">
        <f>H36*$I$36</f>
        <v>8.6759777808000003</v>
      </c>
      <c r="K36" s="544">
        <f>F7</f>
        <v>0.31629000000000002</v>
      </c>
      <c r="L36" s="95" t="s">
        <v>263</v>
      </c>
      <c r="M36" s="169">
        <f>D77</f>
        <v>220.97261272519003</v>
      </c>
      <c r="N36" s="237">
        <v>7.1000000000000004E-3</v>
      </c>
      <c r="O36" s="178">
        <f>ROUND(M36*N36,2)</f>
        <v>1.57</v>
      </c>
    </row>
    <row r="37" spans="2:19" x14ac:dyDescent="0.3">
      <c r="B37" s="537" t="s">
        <v>264</v>
      </c>
      <c r="C37" s="538" t="s">
        <v>262</v>
      </c>
      <c r="D37" s="545">
        <v>175</v>
      </c>
      <c r="E37" s="540">
        <f>(ROUND(D37*K37,2)+ROUND(G37,2)+ROUND(J37,2))/ IF(ROUND(D37,4)=0, 1, ROUND(D37,4))</f>
        <v>0.57994285714285709</v>
      </c>
      <c r="F37" s="541">
        <f t="shared" ref="F37:F43" si="3">ROUND(D37*E37,2)</f>
        <v>101.49</v>
      </c>
      <c r="G37" s="541">
        <f>((D37*K37)/(1-$N$36-$N$37))*($N$36+$N$37)</f>
        <v>3.3038788139123194</v>
      </c>
      <c r="H37" s="542">
        <f>(D37*K37)/(1-$N$36-$N$37)/(1-$I$36)</f>
        <v>101.48918148038088</v>
      </c>
      <c r="I37" s="537"/>
      <c r="J37" s="542">
        <f>H37*$I$36</f>
        <v>18.268052666468556</v>
      </c>
      <c r="K37" s="544">
        <f>F6</f>
        <v>0.45667000000000002</v>
      </c>
      <c r="L37" s="95" t="s">
        <v>265</v>
      </c>
      <c r="M37" s="169">
        <f>M36</f>
        <v>220.97261272519003</v>
      </c>
      <c r="N37" s="237">
        <v>3.2599999999999997E-2</v>
      </c>
      <c r="O37" s="178">
        <f>ROUND(M37*N37,2)</f>
        <v>7.2</v>
      </c>
    </row>
    <row r="38" spans="2:19" x14ac:dyDescent="0.3">
      <c r="B38" s="537" t="s">
        <v>266</v>
      </c>
      <c r="C38" s="538" t="s">
        <v>262</v>
      </c>
      <c r="D38" s="545">
        <f>D36</f>
        <v>120</v>
      </c>
      <c r="E38" s="540">
        <f t="shared" ref="E38" si="4">(ROUND(D38*K38,2)+ROUND(G38,2)+ROUND(J38,2))/ROUND(D38,4)</f>
        <v>0.38699999999999996</v>
      </c>
      <c r="F38" s="541">
        <f t="shared" ref="F38:F39" si="5">ROUND(D38*E38,2)</f>
        <v>46.44</v>
      </c>
      <c r="G38" s="541">
        <f t="shared" ref="G38:G39" si="6">((D38*K38)/(1-$N$36-$N$37))*($N$36+$N$37)</f>
        <v>1.5118494220556076</v>
      </c>
      <c r="H38" s="542">
        <f>(D38*K38)/(1-$N$36-$N$37)/(1-$I$36)</f>
        <v>46.441279782994634</v>
      </c>
      <c r="I38" s="537"/>
      <c r="J38" s="542">
        <f t="shared" ref="J38:J39" si="7">H38*$I$36</f>
        <v>8.359430360939033</v>
      </c>
      <c r="K38" s="544">
        <f>G7</f>
        <v>0.30475000000000002</v>
      </c>
      <c r="L38" s="46"/>
      <c r="M38" s="163"/>
      <c r="N38" s="163"/>
      <c r="O38" s="163"/>
      <c r="S38" s="43"/>
    </row>
    <row r="39" spans="2:19" x14ac:dyDescent="0.3">
      <c r="B39" s="537" t="s">
        <v>267</v>
      </c>
      <c r="C39" s="538" t="s">
        <v>262</v>
      </c>
      <c r="D39" s="545">
        <f>D37</f>
        <v>175</v>
      </c>
      <c r="E39" s="540">
        <f>(ROUND(D39*K39,2)+ROUND(G39,2)+ROUND(J39,2))/ IF(ROUND(D39,4)=0, 1, ROUND(D39,4))</f>
        <v>0.41914285714285709</v>
      </c>
      <c r="F39" s="541">
        <f t="shared" si="5"/>
        <v>73.349999999999994</v>
      </c>
      <c r="G39" s="541">
        <f t="shared" si="6"/>
        <v>2.387674086223055</v>
      </c>
      <c r="H39" s="542">
        <f t="shared" ref="H39" si="8">(D39*K39)/(1-$N$36-$N$37)/(1-$I$36)</f>
        <v>73.345029373442742</v>
      </c>
      <c r="I39" s="537"/>
      <c r="J39" s="542">
        <f t="shared" si="7"/>
        <v>13.202105287219693</v>
      </c>
      <c r="K39" s="580">
        <f>G6</f>
        <v>0.33002999999999999</v>
      </c>
      <c r="L39" s="604"/>
      <c r="M39" s="605"/>
      <c r="N39" s="605"/>
      <c r="O39" s="606"/>
      <c r="Q39" s="174"/>
      <c r="R39" s="187"/>
      <c r="S39" s="43"/>
    </row>
    <row r="40" spans="2:19" x14ac:dyDescent="0.3">
      <c r="B40" s="163" t="s">
        <v>268</v>
      </c>
      <c r="C40" s="164" t="s">
        <v>262</v>
      </c>
      <c r="D40" s="607">
        <f>IF($I$25=M23,(SUM(D36:D37)*($I$27)/($J$27+$I$27)),0)+IF($J$25=M23,(SUM(D36:D37)*($J$27)/($J$27+$I$27)),0)</f>
        <v>114.19354838709677</v>
      </c>
      <c r="E40" s="171">
        <f>IFERROR((ROUND(D40*K40,2)+ROUND(G40,2)+ROUND(J40,2))/ROUND(D40,4), 0)</f>
        <v>2.3906789791012618E-2</v>
      </c>
      <c r="F40" s="169">
        <f t="shared" si="3"/>
        <v>2.73</v>
      </c>
      <c r="G40" s="169">
        <f>((D40*K40)/(1-$N$36-$N$37))*($N$36+$N$37)</f>
        <v>8.8989035684413131E-2</v>
      </c>
      <c r="H40" s="176">
        <f>(D40*K40)/(1-$N$36-$N$37)/(1-$I$36)</f>
        <v>2.7335822229038866</v>
      </c>
      <c r="I40" s="163"/>
      <c r="J40" s="176">
        <f>H40*$I$36</f>
        <v>0.49204480012269958</v>
      </c>
      <c r="K40" s="581">
        <f>N23</f>
        <v>1.8849999999999999E-2</v>
      </c>
      <c r="L40" s="600"/>
      <c r="O40" s="582"/>
      <c r="R40" s="187"/>
    </row>
    <row r="41" spans="2:19" x14ac:dyDescent="0.25">
      <c r="B41" s="163" t="s">
        <v>269</v>
      </c>
      <c r="C41" s="164" t="s">
        <v>262</v>
      </c>
      <c r="D41" s="608">
        <f>IF($I$25=M24,(SUM(D36:D37)*($I$27)/($J$27+$I$27)),0)+IF($J$25=M24,(SUM(D36:D37)*($J$27)/($J$27+$I$27)),0)</f>
        <v>0</v>
      </c>
      <c r="E41" s="171">
        <f>K41/(1-$N$36-$N$37)/(1-$I$36)</f>
        <v>5.6676902289172847E-2</v>
      </c>
      <c r="F41" s="169">
        <f t="shared" si="3"/>
        <v>0</v>
      </c>
      <c r="G41" s="169">
        <f>((D41*K41)/(1-$N$36-$N$37))*($N$36+$N$37)</f>
        <v>0</v>
      </c>
      <c r="H41" s="176">
        <f>(D41*K41)/(1-$N$36-$N$37)/(1-$I$36)</f>
        <v>0</v>
      </c>
      <c r="I41" s="163"/>
      <c r="J41" s="176">
        <f>H41*$I$36</f>
        <v>0</v>
      </c>
      <c r="K41" s="581">
        <f>N24</f>
        <v>4.4630000000000003E-2</v>
      </c>
      <c r="L41" s="600"/>
      <c r="O41" s="582"/>
      <c r="R41" s="187"/>
    </row>
    <row r="42" spans="2:19" x14ac:dyDescent="0.25">
      <c r="B42" s="163" t="s">
        <v>270</v>
      </c>
      <c r="C42" s="164" t="s">
        <v>262</v>
      </c>
      <c r="D42" s="608">
        <f>IF($I$25=M25,(SUM(D36:D37)*($I$27)/($J$27+$I$27)),0)+IF($J$25=M25,(SUM(D36:D37)*($J$27)/($J$27+$I$27)),0)</f>
        <v>0</v>
      </c>
      <c r="E42" s="171">
        <f>K42/(1-$N$36-$N$37)/(1-$I$36)</f>
        <v>0.10003225618010632</v>
      </c>
      <c r="F42" s="169">
        <f t="shared" si="3"/>
        <v>0</v>
      </c>
      <c r="G42" s="169">
        <f>((D42*K42)/(1-$N$36-$N$37))*($N$36+$N$37)</f>
        <v>0</v>
      </c>
      <c r="H42" s="176">
        <f>(D42*K42)/(1-$N$36-$N$37)/(1-$I$36)</f>
        <v>0</v>
      </c>
      <c r="I42" s="163"/>
      <c r="J42" s="176">
        <f>H42*$I$36</f>
        <v>0</v>
      </c>
      <c r="K42" s="581">
        <f>N25</f>
        <v>7.8770000000000007E-2</v>
      </c>
      <c r="L42" s="600"/>
      <c r="O42" s="582"/>
      <c r="R42" s="187"/>
    </row>
    <row r="43" spans="2:19" x14ac:dyDescent="0.3">
      <c r="B43" s="163"/>
      <c r="C43" s="164" t="s">
        <v>262</v>
      </c>
      <c r="D43" s="184">
        <f>IF($I$25=M26,(D36*(I27)/(I27+J27)),0)+IF($J$25=M26,(D36*(J27)/(I27+J27)),0)</f>
        <v>0</v>
      </c>
      <c r="E43" s="171">
        <f>K43/(1-$N$36-$N$37)/(1-$I$36)</f>
        <v>0.18032982579122883</v>
      </c>
      <c r="F43" s="169">
        <f t="shared" si="3"/>
        <v>0</v>
      </c>
      <c r="G43" s="169">
        <f>((D43*K43)/(1-$N$36-$N$37))*($N$36+$N$37)</f>
        <v>0</v>
      </c>
      <c r="H43" s="176">
        <f>(D43*K43)/(1-$N$36-$N$37)/(1-$I$36)</f>
        <v>0</v>
      </c>
      <c r="I43" s="163"/>
      <c r="J43" s="176">
        <f>H43*$I$36</f>
        <v>0</v>
      </c>
      <c r="K43" s="581">
        <f>N26</f>
        <v>0.14199999999999999</v>
      </c>
      <c r="L43" s="600"/>
      <c r="O43" s="582"/>
      <c r="R43" s="187"/>
    </row>
    <row r="44" spans="2:19" x14ac:dyDescent="0.3">
      <c r="B44" s="343" t="s">
        <v>271</v>
      </c>
      <c r="C44" s="343"/>
      <c r="D44" s="344"/>
      <c r="E44" s="343"/>
      <c r="F44" s="527"/>
      <c r="G44" s="163"/>
      <c r="H44" s="163"/>
      <c r="I44" s="163"/>
      <c r="J44" s="163"/>
      <c r="K44" s="38"/>
      <c r="L44" s="600"/>
      <c r="O44" s="582"/>
      <c r="R44" s="187"/>
    </row>
    <row r="45" spans="2:19" x14ac:dyDescent="0.3">
      <c r="B45" s="343" t="s">
        <v>271</v>
      </c>
      <c r="C45" s="343"/>
      <c r="D45" s="344"/>
      <c r="E45" s="343"/>
      <c r="F45" s="527">
        <v>6.5</v>
      </c>
      <c r="G45" s="163"/>
      <c r="H45" s="163"/>
      <c r="I45" s="163"/>
      <c r="J45" s="163"/>
      <c r="K45" s="38"/>
      <c r="L45" s="600"/>
      <c r="O45" s="582"/>
    </row>
    <row r="46" spans="2:19" x14ac:dyDescent="0.3">
      <c r="B46" s="343" t="s">
        <v>271</v>
      </c>
      <c r="C46" s="343"/>
      <c r="D46" s="344"/>
      <c r="E46" s="343"/>
      <c r="F46" s="345"/>
      <c r="G46" s="163"/>
      <c r="H46" s="163"/>
      <c r="I46" s="163"/>
      <c r="J46" s="163"/>
      <c r="K46" s="38"/>
      <c r="L46" s="600"/>
      <c r="O46" s="582"/>
    </row>
    <row r="47" spans="2:19" x14ac:dyDescent="0.3">
      <c r="B47" s="343" t="s">
        <v>271</v>
      </c>
      <c r="C47" s="343"/>
      <c r="D47" s="344"/>
      <c r="E47" s="343"/>
      <c r="F47" s="345"/>
      <c r="G47" s="163"/>
      <c r="H47" s="163"/>
      <c r="I47" s="163"/>
      <c r="J47" s="163"/>
      <c r="K47" s="38"/>
      <c r="L47" s="600"/>
      <c r="O47" s="582"/>
    </row>
    <row r="48" spans="2:19" x14ac:dyDescent="0.3">
      <c r="B48" s="163" t="s">
        <v>272</v>
      </c>
      <c r="C48" s="163"/>
      <c r="D48" s="184"/>
      <c r="E48" s="163"/>
      <c r="F48" s="229"/>
      <c r="G48" s="163"/>
      <c r="H48" s="163"/>
      <c r="I48" s="163"/>
      <c r="J48" s="163"/>
      <c r="K48" s="38"/>
      <c r="L48" s="600"/>
      <c r="O48" s="582"/>
    </row>
    <row r="49" spans="1:25" x14ac:dyDescent="0.3">
      <c r="B49" s="163"/>
      <c r="C49" s="163"/>
      <c r="D49" s="184"/>
      <c r="E49" s="163"/>
      <c r="F49" s="163">
        <v>0</v>
      </c>
      <c r="G49" s="163"/>
      <c r="H49" s="163"/>
      <c r="I49" s="163"/>
      <c r="J49" s="163"/>
      <c r="K49" s="38"/>
      <c r="L49" s="600"/>
      <c r="O49" s="582"/>
    </row>
    <row r="50" spans="1:25" x14ac:dyDescent="0.3">
      <c r="B50" s="163"/>
      <c r="C50" s="163"/>
      <c r="D50" s="184"/>
      <c r="E50" s="163"/>
      <c r="F50" s="163"/>
      <c r="G50" s="163"/>
      <c r="H50" s="163"/>
      <c r="I50" s="163"/>
      <c r="J50" s="163"/>
      <c r="K50" s="38"/>
      <c r="L50" s="600"/>
      <c r="O50" s="582"/>
    </row>
    <row r="51" spans="1:25" ht="21" x14ac:dyDescent="0.3">
      <c r="B51" s="170" t="s">
        <v>177</v>
      </c>
      <c r="C51" s="166"/>
      <c r="D51" s="185"/>
      <c r="E51" s="166"/>
      <c r="F51" s="172">
        <f>SUM(F36:F50)</f>
        <v>278.71000000000004</v>
      </c>
      <c r="G51" s="175">
        <f>SUM(G36:G50)</f>
        <v>8.8614901395061345</v>
      </c>
      <c r="H51" s="177">
        <f>SUM(H36:H50)</f>
        <v>272.2089494197221</v>
      </c>
      <c r="I51" s="166"/>
      <c r="J51" s="177">
        <f>SUM(J36:J50)</f>
        <v>48.997610895549983</v>
      </c>
      <c r="K51" s="52"/>
      <c r="L51" s="583"/>
      <c r="M51" s="584"/>
      <c r="N51" s="584"/>
      <c r="O51" s="585">
        <f>F51</f>
        <v>278.71000000000004</v>
      </c>
    </row>
    <row r="52" spans="1:25" x14ac:dyDescent="0.3">
      <c r="N52" s="134"/>
      <c r="O52" s="134"/>
    </row>
    <row r="53" spans="1:25" x14ac:dyDescent="0.3">
      <c r="B53" s="238" t="s">
        <v>273</v>
      </c>
      <c r="C53" s="239"/>
      <c r="D53" s="240"/>
      <c r="E53" s="240">
        <f>D36</f>
        <v>120</v>
      </c>
      <c r="F53" s="572">
        <f>J8</f>
        <v>-1.2700000000000001E-3</v>
      </c>
      <c r="G53" s="572">
        <f>E53*F53</f>
        <v>-0.15240000000000001</v>
      </c>
      <c r="H53" s="43"/>
      <c r="N53" s="134"/>
      <c r="O53" s="134"/>
    </row>
    <row r="54" spans="1:25" s="1" customFormat="1" x14ac:dyDescent="0.3">
      <c r="A54" s="1" t="s">
        <v>210</v>
      </c>
      <c r="B54" s="238" t="s">
        <v>273</v>
      </c>
      <c r="C54" s="239"/>
      <c r="D54" s="240"/>
      <c r="E54" s="240">
        <f>D37</f>
        <v>175</v>
      </c>
      <c r="F54" s="572">
        <f>C9</f>
        <v>1.2448550414992767E-4</v>
      </c>
      <c r="G54" s="212">
        <f>E54*F54</f>
        <v>2.1784963226237342E-2</v>
      </c>
      <c r="K54" s="27"/>
      <c r="N54" s="134"/>
      <c r="O54" s="13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238" t="s">
        <v>273</v>
      </c>
      <c r="C55" s="136"/>
      <c r="D55" s="136"/>
      <c r="E55" s="240">
        <f>E54</f>
        <v>175</v>
      </c>
      <c r="F55" s="572">
        <f>G9</f>
        <v>-1.27319E-3</v>
      </c>
      <c r="G55" s="572">
        <f>E55*F55</f>
        <v>-0.22280825000000001</v>
      </c>
      <c r="H55" s="573">
        <f>SUM(G53:G55)</f>
        <v>-0.35342328677376267</v>
      </c>
      <c r="I55" s="27"/>
      <c r="J55" s="27"/>
      <c r="K55" s="27"/>
      <c r="N55" s="134"/>
      <c r="O55" s="134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27"/>
      <c r="C56" s="27"/>
      <c r="D56" s="27"/>
      <c r="E56" s="27"/>
      <c r="F56" s="27"/>
      <c r="G56" s="27"/>
      <c r="H56" s="27"/>
      <c r="I56" s="27"/>
      <c r="J56" s="27"/>
      <c r="K56" s="27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772" t="s">
        <v>274</v>
      </c>
      <c r="C57" s="773"/>
      <c r="D57" s="773"/>
      <c r="E57" s="773"/>
      <c r="F57" s="773"/>
      <c r="G57" s="773"/>
      <c r="H57" s="774"/>
      <c r="I57"/>
      <c r="J57" s="760" t="s">
        <v>274</v>
      </c>
      <c r="K57" s="760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546"/>
      <c r="C58" s="546"/>
      <c r="D58" s="504" t="s">
        <v>275</v>
      </c>
      <c r="E58" s="504" t="s">
        <v>6</v>
      </c>
      <c r="F58" s="504" t="s">
        <v>7</v>
      </c>
      <c r="G58" s="504" t="s">
        <v>218</v>
      </c>
      <c r="H58" s="504" t="s">
        <v>170</v>
      </c>
      <c r="I58"/>
      <c r="J58" s="761">
        <f>SUM(H59:H60)</f>
        <v>-19.879999999999995</v>
      </c>
      <c r="K58" s="762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578" t="s">
        <v>276</v>
      </c>
      <c r="C59" s="341"/>
      <c r="D59" s="579">
        <f>D36</f>
        <v>120</v>
      </c>
      <c r="E59" s="315">
        <f>IF(AND($B$26&lt;$F$2,$E$26&lt;$F$2),C7,IF($B$26&lt;$F$2,I7,F7))</f>
        <v>0.31629000000000002</v>
      </c>
      <c r="F59" s="315">
        <f>IF(AND($B$26&lt;$F$2,$E$26&lt;$F$2),D7,IF($B$26&lt;$F$2,J7,G7))</f>
        <v>0.30475000000000002</v>
      </c>
      <c r="G59" s="315">
        <f>SUM(E59:F59)</f>
        <v>0.62104000000000004</v>
      </c>
      <c r="H59" s="548">
        <f>ROUND((D59*E59),2)+ROUND((D59*F59),2)</f>
        <v>74.52000000000001</v>
      </c>
      <c r="I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578" t="s">
        <v>277</v>
      </c>
      <c r="C60" s="341"/>
      <c r="D60" s="579">
        <f>-D36</f>
        <v>-120</v>
      </c>
      <c r="E60" s="315">
        <f>IF(AND($B$26&lt;$F$2,$E$26&lt;$F$2),C6,IF($B$26&lt;$F$2,I6,F6))</f>
        <v>0.45667000000000002</v>
      </c>
      <c r="F60" s="315">
        <f>IF(AND($B$26&lt;$F$2,$E$26&lt;$F$2),D6,IF($B$26&lt;$F$2,J6,G6))</f>
        <v>0.33002999999999999</v>
      </c>
      <c r="G60" s="315">
        <f>SUM(E60:F60)</f>
        <v>0.78669999999999995</v>
      </c>
      <c r="H60" s="548">
        <f>ROUND((D60*E60),2)+ROUND((D60*F60),2)</f>
        <v>-94.4</v>
      </c>
      <c r="I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27"/>
      <c r="C61" s="27"/>
      <c r="D61" s="27"/>
      <c r="E61" s="27"/>
      <c r="F61" s="27"/>
      <c r="G61" s="27"/>
      <c r="H61" s="27"/>
      <c r="I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27"/>
      <c r="C62" s="27"/>
      <c r="D62" s="27"/>
      <c r="E62" s="27"/>
      <c r="F62" s="27"/>
      <c r="G62" s="27"/>
      <c r="H62" s="27"/>
      <c r="I62"/>
      <c r="J62"/>
      <c r="K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I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341"/>
      <c r="C64" s="341"/>
      <c r="D64" s="504" t="s">
        <v>275</v>
      </c>
      <c r="E64" s="504" t="s">
        <v>6</v>
      </c>
      <c r="F64" s="504" t="s">
        <v>7</v>
      </c>
      <c r="G64" s="504" t="s">
        <v>218</v>
      </c>
      <c r="H64" s="504" t="s">
        <v>170</v>
      </c>
      <c r="I64"/>
      <c r="J64" s="763" t="s">
        <v>278</v>
      </c>
      <c r="K64" s="764"/>
      <c r="L64" s="763" t="s">
        <v>279</v>
      </c>
      <c r="M64" s="7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574" t="s">
        <v>261</v>
      </c>
      <c r="C65" s="574"/>
      <c r="D65" s="575">
        <f>D36</f>
        <v>120</v>
      </c>
      <c r="E65" s="576">
        <v>0.31629000000000002</v>
      </c>
      <c r="F65" s="576">
        <v>0</v>
      </c>
      <c r="G65" s="599">
        <v>0</v>
      </c>
      <c r="H65" s="577">
        <f>ROUND((D65*E65),2)+ROUND((D65*F65),2)</f>
        <v>37.950000000000003</v>
      </c>
      <c r="I65"/>
      <c r="J65" s="765">
        <f>SUM(H65:H73)</f>
        <v>213.07999999999998</v>
      </c>
      <c r="K65" s="766"/>
      <c r="L65" s="765">
        <f>SUM(H77:H79)</f>
        <v>57.770223620740019</v>
      </c>
      <c r="M65" s="766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574" t="s">
        <v>264</v>
      </c>
      <c r="C66" s="574"/>
      <c r="D66" s="575">
        <f>D37</f>
        <v>175</v>
      </c>
      <c r="E66" s="576">
        <v>0.45667000000000002</v>
      </c>
      <c r="F66" s="576">
        <v>0</v>
      </c>
      <c r="G66" s="598">
        <v>0</v>
      </c>
      <c r="H66" s="577">
        <f>ROUND((D66*E66),2)+ROUND((D66*F66),2)</f>
        <v>79.92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574" t="s">
        <v>266</v>
      </c>
      <c r="C67" s="574"/>
      <c r="D67" s="575">
        <f>D65</f>
        <v>120</v>
      </c>
      <c r="E67" s="576">
        <v>0.30475000000000002</v>
      </c>
      <c r="F67" s="576">
        <v>0</v>
      </c>
      <c r="G67" s="599">
        <v>0</v>
      </c>
      <c r="H67" s="577">
        <f t="shared" ref="H67:H68" si="9">ROUND((D67*E67),2)+ROUND((D67*F67),2)</f>
        <v>36.57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574" t="s">
        <v>267</v>
      </c>
      <c r="C68" s="574"/>
      <c r="D68" s="575">
        <f>D39</f>
        <v>175</v>
      </c>
      <c r="E68" s="576">
        <v>0.33002999999999999</v>
      </c>
      <c r="F68" s="576">
        <v>0</v>
      </c>
      <c r="G68" s="598">
        <v>0</v>
      </c>
      <c r="H68" s="577">
        <f t="shared" si="9"/>
        <v>57.76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46"/>
      <c r="C69" s="546"/>
      <c r="D69" s="550"/>
      <c r="E69" s="546"/>
      <c r="F69" s="546"/>
      <c r="G69" s="546"/>
      <c r="H69" s="546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B70" s="546" t="s">
        <v>268</v>
      </c>
      <c r="C70" s="546"/>
      <c r="D70" s="586">
        <f>IF($I$25=M23,(SUM(D37:D38)*($I$27)/($J$27+$I$27)),0)+IF($J$25=M23,(SUM(D35:D36)*($J$27)/($J$27+$I$27)),0)</f>
        <v>46.451612903225808</v>
      </c>
      <c r="E70" s="546"/>
      <c r="F70" s="551">
        <f>N23</f>
        <v>1.8849999999999999E-2</v>
      </c>
      <c r="G70" s="551"/>
      <c r="H70" s="549">
        <f>ROUND(D70*(E70+F70),2)</f>
        <v>0.88</v>
      </c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s="1" customFormat="1" x14ac:dyDescent="0.3">
      <c r="B71" s="546" t="s">
        <v>269</v>
      </c>
      <c r="C71" s="546"/>
      <c r="D71" s="547">
        <f>IF($I$25=$M$24,(D65*(I27)/(I27+J27)),0)+IF($J$25=$M$24,(D65*(J27)/(I27+J27)),0)</f>
        <v>0</v>
      </c>
      <c r="E71" s="546"/>
      <c r="F71" s="551">
        <f>N24</f>
        <v>4.4630000000000003E-2</v>
      </c>
      <c r="G71" s="551"/>
      <c r="H71" s="549">
        <f>ROUND(D71*(E71+F71),2)</f>
        <v>0</v>
      </c>
      <c r="I71"/>
      <c r="J71"/>
      <c r="L71"/>
      <c r="M71"/>
      <c r="N71"/>
      <c r="O71"/>
      <c r="P71" s="27"/>
      <c r="Q71" s="27"/>
      <c r="R71" s="27"/>
      <c r="S71" s="27"/>
      <c r="T71" s="27"/>
      <c r="U71" s="27"/>
      <c r="V71" s="27"/>
      <c r="W71" s="27"/>
      <c r="X71" s="27"/>
      <c r="Y71" s="27"/>
    </row>
    <row r="72" spans="2:25" s="1" customFormat="1" x14ac:dyDescent="0.3">
      <c r="B72" s="546" t="s">
        <v>270</v>
      </c>
      <c r="C72" s="546"/>
      <c r="D72" s="547">
        <f>IF($I$25=$M$25,(D65*(I27)/(I27+J27)),0)+IF($J$25=$M$25,(D65*(J27)/(I27+J27)),0)</f>
        <v>0</v>
      </c>
      <c r="E72" s="546"/>
      <c r="F72" s="551">
        <f>N25</f>
        <v>7.8770000000000007E-2</v>
      </c>
      <c r="G72" s="551"/>
      <c r="H72" s="549">
        <f>ROUND(D72*(E72+F72),2)</f>
        <v>0</v>
      </c>
      <c r="I72"/>
      <c r="J72"/>
      <c r="L72"/>
      <c r="M72"/>
      <c r="N72"/>
      <c r="O72"/>
      <c r="P72" s="27"/>
      <c r="Q72" s="27"/>
      <c r="R72" s="27"/>
      <c r="S72" s="27"/>
      <c r="T72" s="27"/>
      <c r="U72" s="27"/>
      <c r="V72" s="27"/>
      <c r="W72" s="27"/>
      <c r="X72" s="27"/>
      <c r="Y72" s="27"/>
    </row>
    <row r="73" spans="2:25" s="1" customFormat="1" x14ac:dyDescent="0.3">
      <c r="B73" s="546" t="s">
        <v>280</v>
      </c>
      <c r="C73" s="546"/>
      <c r="D73" s="547">
        <f>IF($I$25=$M$26,(D65*(I27)/(I27+J27)),0)+IF($J$25=$M$26,(D65*(J27)/(I27+J27)),0)</f>
        <v>0</v>
      </c>
      <c r="E73" s="546"/>
      <c r="F73" s="551">
        <f>N26</f>
        <v>0.14199999999999999</v>
      </c>
      <c r="G73" s="551"/>
      <c r="H73" s="549">
        <f>ROUND(D73*(E73+F73),2)</f>
        <v>0</v>
      </c>
      <c r="I73"/>
      <c r="J73"/>
      <c r="L73"/>
      <c r="M73"/>
      <c r="N73"/>
      <c r="O73"/>
      <c r="P73" s="27"/>
      <c r="Q73" s="27"/>
      <c r="R73" s="27"/>
      <c r="S73" s="27"/>
      <c r="T73" s="27"/>
      <c r="U73" s="27"/>
      <c r="V73" s="27"/>
      <c r="W73" s="27"/>
      <c r="X73" s="27"/>
      <c r="Y73" s="27"/>
    </row>
    <row r="74" spans="2:25" s="1" customFormat="1" x14ac:dyDescent="0.3">
      <c r="I74"/>
      <c r="J74"/>
      <c r="K74" s="4"/>
      <c r="L74"/>
      <c r="M74"/>
      <c r="N74"/>
      <c r="O74"/>
      <c r="P74" s="27"/>
      <c r="Q74" s="27"/>
      <c r="R74" s="27"/>
      <c r="S74" s="27"/>
      <c r="T74" s="27"/>
      <c r="U74" s="27"/>
      <c r="V74" s="27"/>
      <c r="W74" s="27"/>
      <c r="X74" s="27"/>
      <c r="Y74" s="27"/>
    </row>
    <row r="75" spans="2:25" s="1" customFormat="1" x14ac:dyDescent="0.3">
      <c r="I75"/>
      <c r="J75"/>
      <c r="L75"/>
      <c r="M75"/>
      <c r="N75"/>
      <c r="O75"/>
      <c r="P75" s="27"/>
      <c r="Q75" s="27"/>
      <c r="R75" s="27"/>
      <c r="S75" s="27"/>
      <c r="T75" s="27"/>
      <c r="U75" s="27"/>
      <c r="V75" s="27"/>
      <c r="W75" s="27"/>
      <c r="X75" s="27"/>
      <c r="Y75" s="27"/>
    </row>
    <row r="76" spans="2:25" x14ac:dyDescent="0.3">
      <c r="B76" s="757" t="s">
        <v>281</v>
      </c>
      <c r="C76" s="758"/>
      <c r="D76" s="758"/>
      <c r="E76" s="758"/>
      <c r="F76" s="758"/>
      <c r="G76" s="758"/>
      <c r="H76" s="759"/>
      <c r="I76"/>
      <c r="J76"/>
      <c r="K76" s="1"/>
      <c r="L76" s="25"/>
      <c r="M76" s="25"/>
      <c r="N76" s="25"/>
      <c r="O76" s="25"/>
    </row>
    <row r="77" spans="2:25" x14ac:dyDescent="0.3">
      <c r="B77" s="546" t="s">
        <v>282</v>
      </c>
      <c r="C77" s="546"/>
      <c r="D77" s="444">
        <f>SUM(H65:H68)/(1-(E77+E78))</f>
        <v>220.97261272519003</v>
      </c>
      <c r="E77" s="555">
        <f>N36</f>
        <v>7.1000000000000004E-3</v>
      </c>
      <c r="F77" s="546"/>
      <c r="G77" s="546"/>
      <c r="H77" s="549">
        <f>D77*E77</f>
        <v>1.5689055503488494</v>
      </c>
      <c r="I77" s="131"/>
      <c r="J77"/>
      <c r="K77" s="1"/>
    </row>
    <row r="78" spans="2:25" x14ac:dyDescent="0.3">
      <c r="B78" s="546" t="s">
        <v>265</v>
      </c>
      <c r="C78" s="546"/>
      <c r="D78" s="444">
        <f>D77</f>
        <v>220.97261272519003</v>
      </c>
      <c r="E78" s="555">
        <f>N37</f>
        <v>3.2599999999999997E-2</v>
      </c>
      <c r="F78" s="546"/>
      <c r="G78" s="546"/>
      <c r="H78" s="549">
        <f>D78*E78</f>
        <v>7.2037071748411945</v>
      </c>
      <c r="I78"/>
      <c r="J78"/>
      <c r="K78" s="1"/>
    </row>
    <row r="79" spans="2:25" x14ac:dyDescent="0.3">
      <c r="B79" s="546" t="s">
        <v>283</v>
      </c>
      <c r="C79" s="546"/>
      <c r="D79" s="444">
        <f>SUM(H36:H42)</f>
        <v>272.2089494197221</v>
      </c>
      <c r="E79" s="556">
        <f>I36</f>
        <v>0.18</v>
      </c>
      <c r="F79" s="546"/>
      <c r="G79" s="546"/>
      <c r="H79" s="549">
        <f>D79*E79</f>
        <v>48.997610895549975</v>
      </c>
      <c r="I79" s="62">
        <f>D79-H79</f>
        <v>223.21133852417213</v>
      </c>
    </row>
    <row r="80" spans="2:25" x14ac:dyDescent="0.3">
      <c r="B80" s="546"/>
      <c r="C80" s="546"/>
      <c r="D80" s="546"/>
      <c r="E80" s="546"/>
      <c r="F80" s="546"/>
      <c r="G80" s="546"/>
      <c r="H80" s="546"/>
    </row>
    <row r="81" spans="2:10" x14ac:dyDescent="0.3">
      <c r="B81" s="1"/>
      <c r="C81" s="1"/>
      <c r="D81" s="1"/>
      <c r="E81" s="1"/>
      <c r="F81" s="1"/>
      <c r="G81" s="1"/>
      <c r="H81" s="1"/>
    </row>
    <row r="82" spans="2:10" x14ac:dyDescent="0.3">
      <c r="B82" s="35" t="s">
        <v>196</v>
      </c>
      <c r="C82" s="35"/>
      <c r="D82" s="1"/>
      <c r="E82" s="1"/>
      <c r="F82" s="1"/>
      <c r="G82" s="1"/>
      <c r="H82" s="1"/>
    </row>
    <row r="83" spans="2:10" x14ac:dyDescent="0.3">
      <c r="B83" s="35" t="s">
        <v>197</v>
      </c>
      <c r="C83" s="35"/>
      <c r="D83" s="37"/>
      <c r="E83" s="37" t="s">
        <v>210</v>
      </c>
      <c r="F83" s="37"/>
      <c r="G83" s="37"/>
      <c r="H83" s="61"/>
    </row>
    <row r="84" spans="2:10" x14ac:dyDescent="0.3">
      <c r="B84" s="35" t="s">
        <v>198</v>
      </c>
      <c r="C84" s="35"/>
    </row>
    <row r="85" spans="2:10" x14ac:dyDescent="0.3">
      <c r="B85" s="35" t="s">
        <v>199</v>
      </c>
      <c r="C85" s="35"/>
    </row>
    <row r="86" spans="2:10" x14ac:dyDescent="0.3">
      <c r="B86" s="35" t="s">
        <v>200</v>
      </c>
      <c r="C86" s="35"/>
    </row>
    <row r="87" spans="2:10" x14ac:dyDescent="0.3">
      <c r="B87" s="35" t="s">
        <v>201</v>
      </c>
      <c r="C87" s="35"/>
    </row>
    <row r="88" spans="2:10" x14ac:dyDescent="0.3">
      <c r="B88" s="35" t="s">
        <v>202</v>
      </c>
      <c r="C88" s="35"/>
    </row>
    <row r="89" spans="2:10" x14ac:dyDescent="0.3">
      <c r="B89" s="35" t="s">
        <v>203</v>
      </c>
      <c r="C89" s="35"/>
    </row>
    <row r="90" spans="2:10" x14ac:dyDescent="0.3">
      <c r="B90" s="35" t="s">
        <v>204</v>
      </c>
      <c r="C90" s="35"/>
    </row>
    <row r="91" spans="2:10" x14ac:dyDescent="0.3">
      <c r="E91" s="142"/>
    </row>
    <row r="92" spans="2:10" x14ac:dyDescent="0.3">
      <c r="B92" s="35">
        <v>2025</v>
      </c>
      <c r="C92" s="35"/>
      <c r="D92" s="305" t="s">
        <v>190</v>
      </c>
      <c r="E92" s="305" t="s">
        <v>191</v>
      </c>
      <c r="F92" s="305" t="s">
        <v>192</v>
      </c>
      <c r="G92" s="305" t="s">
        <v>193</v>
      </c>
    </row>
    <row r="93" spans="2:10" x14ac:dyDescent="0.3">
      <c r="B93" s="35" t="s">
        <v>194</v>
      </c>
      <c r="C93" s="35"/>
      <c r="D93" s="305" t="s">
        <v>195</v>
      </c>
      <c r="E93" s="305" t="s">
        <v>195</v>
      </c>
      <c r="F93" s="305" t="s">
        <v>195</v>
      </c>
      <c r="G93" s="305" t="s">
        <v>195</v>
      </c>
    </row>
    <row r="94" spans="2:10" x14ac:dyDescent="0.3">
      <c r="B94" s="35"/>
      <c r="C94" s="35"/>
      <c r="D94" s="35"/>
      <c r="E94" s="35"/>
      <c r="F94" s="35"/>
      <c r="G94" s="35"/>
    </row>
    <row r="95" spans="2:10" x14ac:dyDescent="0.3">
      <c r="B95" s="35" t="s">
        <v>196</v>
      </c>
      <c r="C95" s="35"/>
      <c r="D95" s="71">
        <v>0.39769197799808981</v>
      </c>
      <c r="E95" s="71">
        <v>8.512776690845017E-2</v>
      </c>
      <c r="F95" s="71">
        <v>0.25265748787228293</v>
      </c>
      <c r="G95" s="71">
        <v>0.26452276722117707</v>
      </c>
      <c r="J95" s="30"/>
    </row>
    <row r="96" spans="2:10" x14ac:dyDescent="0.3">
      <c r="B96" s="35" t="s">
        <v>197</v>
      </c>
      <c r="C96" s="35"/>
      <c r="D96" s="71">
        <v>0.51666134768573579</v>
      </c>
      <c r="E96" s="71">
        <v>0.11059369866547396</v>
      </c>
      <c r="F96" s="71">
        <v>0.32823985750000007</v>
      </c>
      <c r="G96" s="71">
        <v>4.4505096148790169E-2</v>
      </c>
    </row>
    <row r="97" spans="2:7" x14ac:dyDescent="0.3">
      <c r="B97" s="35" t="s">
        <v>198</v>
      </c>
      <c r="C97" s="35"/>
      <c r="D97" s="71">
        <v>0.39769197799808981</v>
      </c>
      <c r="E97" s="71">
        <v>8.512776690845017E-2</v>
      </c>
      <c r="F97" s="71">
        <v>0.25265748787228293</v>
      </c>
      <c r="G97" s="71">
        <v>0.26452276722117707</v>
      </c>
    </row>
    <row r="98" spans="2:7" x14ac:dyDescent="0.3">
      <c r="B98" s="35" t="s">
        <v>199</v>
      </c>
      <c r="C98" s="35"/>
      <c r="D98" s="71">
        <v>0.39769197799808981</v>
      </c>
      <c r="E98" s="71">
        <v>8.512776690845017E-2</v>
      </c>
      <c r="F98" s="71">
        <v>0.25265748787228293</v>
      </c>
      <c r="G98" s="71">
        <v>0.26452276722117707</v>
      </c>
    </row>
    <row r="99" spans="2:7" x14ac:dyDescent="0.3">
      <c r="B99" s="35" t="s">
        <v>200</v>
      </c>
      <c r="C99" s="35"/>
      <c r="D99" s="71">
        <v>0.39769197799808981</v>
      </c>
      <c r="E99" s="71">
        <v>8.512776690845017E-2</v>
      </c>
      <c r="F99" s="71">
        <v>0.25265748787228293</v>
      </c>
      <c r="G99" s="71">
        <v>0.26452276722117707</v>
      </c>
    </row>
    <row r="100" spans="2:7" x14ac:dyDescent="0.3">
      <c r="B100" s="35" t="s">
        <v>201</v>
      </c>
      <c r="C100" s="35"/>
      <c r="D100" s="71">
        <v>0.39769197799808981</v>
      </c>
      <c r="E100" s="71">
        <v>8.512776690845017E-2</v>
      </c>
      <c r="F100" s="71">
        <v>0.25265748787228293</v>
      </c>
      <c r="G100" s="71">
        <v>0.26452276722117707</v>
      </c>
    </row>
    <row r="101" spans="2:7" x14ac:dyDescent="0.3">
      <c r="B101" s="35" t="s">
        <v>202</v>
      </c>
      <c r="C101" s="35"/>
      <c r="D101" s="71">
        <v>0.39769197799808981</v>
      </c>
      <c r="E101" s="71">
        <v>8.512776690845017E-2</v>
      </c>
      <c r="F101" s="71">
        <v>0.25265748787228293</v>
      </c>
      <c r="G101" s="71">
        <v>0.26452276722117707</v>
      </c>
    </row>
    <row r="102" spans="2:7" x14ac:dyDescent="0.3">
      <c r="B102" s="35" t="s">
        <v>203</v>
      </c>
      <c r="C102" s="35"/>
      <c r="D102" s="71">
        <v>0.39769197799808981</v>
      </c>
      <c r="E102" s="71">
        <v>8.512776690845017E-2</v>
      </c>
      <c r="F102" s="71">
        <v>0.25265748787228293</v>
      </c>
      <c r="G102" s="71">
        <v>0.26452276722117707</v>
      </c>
    </row>
    <row r="103" spans="2:7" x14ac:dyDescent="0.3">
      <c r="B103" s="35" t="s">
        <v>204</v>
      </c>
      <c r="C103" s="35"/>
      <c r="D103" s="71">
        <v>0.39769197799808981</v>
      </c>
      <c r="E103" s="71">
        <v>8.512776690845017E-2</v>
      </c>
      <c r="F103" s="71">
        <v>0.25265748787228293</v>
      </c>
      <c r="G103" s="71">
        <v>0.26452276722117707</v>
      </c>
    </row>
    <row r="104" spans="2:7" x14ac:dyDescent="0.3">
      <c r="B104" s="64"/>
      <c r="C104" s="64"/>
      <c r="D104" s="64"/>
      <c r="E104" s="64"/>
      <c r="F104" s="64"/>
      <c r="G104" s="64"/>
    </row>
    <row r="105" spans="2:7" x14ac:dyDescent="0.3">
      <c r="B105" s="64"/>
      <c r="C105" s="64"/>
      <c r="D105" s="64"/>
      <c r="E105" s="64"/>
      <c r="F105" s="64"/>
      <c r="G105" s="64"/>
    </row>
    <row r="106" spans="2:7" x14ac:dyDescent="0.3">
      <c r="B106" s="35">
        <v>2024</v>
      </c>
      <c r="C106" s="35"/>
      <c r="D106" s="308" t="s">
        <v>190</v>
      </c>
      <c r="E106" s="308" t="s">
        <v>191</v>
      </c>
      <c r="F106" s="308" t="s">
        <v>192</v>
      </c>
      <c r="G106" s="308" t="s">
        <v>193</v>
      </c>
    </row>
    <row r="107" spans="2:7" x14ac:dyDescent="0.3">
      <c r="B107" s="35" t="s">
        <v>194</v>
      </c>
      <c r="C107" s="35"/>
      <c r="D107" s="308" t="s">
        <v>195</v>
      </c>
      <c r="E107" s="308" t="s">
        <v>195</v>
      </c>
      <c r="F107" s="308" t="s">
        <v>195</v>
      </c>
      <c r="G107" s="308" t="s">
        <v>195</v>
      </c>
    </row>
    <row r="108" spans="2:7" x14ac:dyDescent="0.3">
      <c r="B108" s="35"/>
      <c r="C108" s="35"/>
      <c r="D108" s="35"/>
      <c r="E108" s="35"/>
      <c r="F108" s="35"/>
      <c r="G108" s="35"/>
    </row>
    <row r="109" spans="2:7" x14ac:dyDescent="0.3">
      <c r="B109" s="35" t="s">
        <v>196</v>
      </c>
      <c r="C109" s="35"/>
      <c r="D109" s="71">
        <v>0.41270000000000001</v>
      </c>
      <c r="E109" s="71">
        <v>9.8500000000000004E-2</v>
      </c>
      <c r="F109" s="71">
        <v>0.29160000000000003</v>
      </c>
      <c r="G109" s="71">
        <v>0.1971</v>
      </c>
    </row>
    <row r="110" spans="2:7" x14ac:dyDescent="0.3">
      <c r="B110" s="35" t="s">
        <v>197</v>
      </c>
      <c r="C110" s="35"/>
      <c r="D110" s="71">
        <v>0.49309999999999998</v>
      </c>
      <c r="E110" s="71">
        <v>0.1177</v>
      </c>
      <c r="F110" s="71">
        <v>0.34839999999999999</v>
      </c>
      <c r="G110" s="71">
        <v>4.0800000000000003E-2</v>
      </c>
    </row>
    <row r="111" spans="2:7" x14ac:dyDescent="0.3">
      <c r="B111" s="35" t="s">
        <v>198</v>
      </c>
      <c r="C111" s="35"/>
      <c r="D111" s="71">
        <v>0.41270000000000001</v>
      </c>
      <c r="E111" s="71">
        <v>9.8500000000000004E-2</v>
      </c>
      <c r="F111" s="71">
        <v>0.29160000000000003</v>
      </c>
      <c r="G111" s="71">
        <v>0.1971</v>
      </c>
    </row>
    <row r="112" spans="2:7" x14ac:dyDescent="0.3">
      <c r="B112" s="35" t="s">
        <v>199</v>
      </c>
      <c r="C112" s="35"/>
      <c r="D112" s="71">
        <v>0.41270000000000001</v>
      </c>
      <c r="E112" s="71">
        <v>9.8500000000000004E-2</v>
      </c>
      <c r="F112" s="71">
        <v>0.29160000000000003</v>
      </c>
      <c r="G112" s="71">
        <v>0.1971</v>
      </c>
    </row>
    <row r="113" spans="2:7" x14ac:dyDescent="0.3">
      <c r="B113" s="35" t="s">
        <v>200</v>
      </c>
      <c r="C113" s="35"/>
      <c r="D113" s="71">
        <v>0.41270000000000001</v>
      </c>
      <c r="E113" s="71">
        <v>9.8500000000000004E-2</v>
      </c>
      <c r="F113" s="71">
        <v>0.29160000000000003</v>
      </c>
      <c r="G113" s="71">
        <v>0.1971</v>
      </c>
    </row>
    <row r="114" spans="2:7" x14ac:dyDescent="0.3">
      <c r="B114" s="35" t="s">
        <v>201</v>
      </c>
      <c r="C114" s="35"/>
      <c r="D114" s="71">
        <v>0.41270000000000001</v>
      </c>
      <c r="E114" s="71">
        <v>9.8500000000000004E-2</v>
      </c>
      <c r="F114" s="71">
        <v>0.29160000000000003</v>
      </c>
      <c r="G114" s="71">
        <v>0.1971</v>
      </c>
    </row>
    <row r="115" spans="2:7" x14ac:dyDescent="0.3">
      <c r="B115" s="35" t="s">
        <v>202</v>
      </c>
      <c r="C115" s="35"/>
      <c r="D115" s="71">
        <v>0.41270000000000001</v>
      </c>
      <c r="E115" s="71">
        <v>9.8500000000000004E-2</v>
      </c>
      <c r="F115" s="71">
        <v>0.29160000000000003</v>
      </c>
      <c r="G115" s="71">
        <v>0.1971</v>
      </c>
    </row>
    <row r="116" spans="2:7" x14ac:dyDescent="0.3">
      <c r="B116" s="35" t="s">
        <v>203</v>
      </c>
      <c r="C116" s="35"/>
      <c r="D116" s="71">
        <v>0.41270000000000001</v>
      </c>
      <c r="E116" s="71">
        <v>9.8500000000000004E-2</v>
      </c>
      <c r="F116" s="71">
        <v>0.29160000000000003</v>
      </c>
      <c r="G116" s="71">
        <v>0.1971</v>
      </c>
    </row>
    <row r="117" spans="2:7" x14ac:dyDescent="0.3">
      <c r="B117" s="35" t="s">
        <v>204</v>
      </c>
      <c r="C117" s="35"/>
      <c r="D117" s="71">
        <v>0.41270000000000001</v>
      </c>
      <c r="E117" s="71">
        <v>9.8500000000000004E-2</v>
      </c>
      <c r="F117" s="71">
        <v>0.29160000000000003</v>
      </c>
      <c r="G117" s="71">
        <v>0.1971</v>
      </c>
    </row>
    <row r="118" spans="2:7" x14ac:dyDescent="0.3">
      <c r="B118" s="64"/>
      <c r="C118" s="64"/>
      <c r="D118" s="64"/>
      <c r="E118" s="64"/>
      <c r="F118" s="64"/>
      <c r="G118" s="64"/>
    </row>
    <row r="119" spans="2:7" x14ac:dyDescent="0.3">
      <c r="B119" s="135" t="s">
        <v>284</v>
      </c>
      <c r="C119" s="64"/>
      <c r="D119" s="64"/>
      <c r="E119" s="64"/>
      <c r="F119" s="64"/>
      <c r="G119" s="64"/>
    </row>
    <row r="120" spans="2:7" x14ac:dyDescent="0.3">
      <c r="B120" s="35"/>
      <c r="C120" s="35"/>
      <c r="D120" s="305" t="s">
        <v>190</v>
      </c>
      <c r="E120" s="305" t="s">
        <v>191</v>
      </c>
      <c r="F120" s="305" t="s">
        <v>192</v>
      </c>
      <c r="G120" s="305" t="s">
        <v>193</v>
      </c>
    </row>
    <row r="121" spans="2:7" x14ac:dyDescent="0.3">
      <c r="B121" s="35" t="s">
        <v>194</v>
      </c>
      <c r="C121" s="35"/>
      <c r="D121" s="306" t="s">
        <v>195</v>
      </c>
      <c r="E121" s="306" t="s">
        <v>195</v>
      </c>
      <c r="F121" s="306" t="s">
        <v>195</v>
      </c>
      <c r="G121" s="306" t="s">
        <v>195</v>
      </c>
    </row>
    <row r="122" spans="2:7" x14ac:dyDescent="0.3">
      <c r="B122" s="35"/>
      <c r="C122" s="35"/>
      <c r="D122" s="71"/>
      <c r="E122" s="71"/>
      <c r="F122" s="71"/>
      <c r="G122" s="71"/>
    </row>
    <row r="123" spans="2:7" x14ac:dyDescent="0.3">
      <c r="B123" s="35" t="s">
        <v>196</v>
      </c>
      <c r="C123" s="35"/>
      <c r="D123" s="71">
        <f t="shared" ref="D123:G131" si="10">((D109*$C$26)+(D95*$D$26))/($C$26+$D$26)</f>
        <v>0.39769197799808981</v>
      </c>
      <c r="E123" s="71">
        <f t="shared" si="10"/>
        <v>8.512776690845017E-2</v>
      </c>
      <c r="F123" s="71">
        <f t="shared" si="10"/>
        <v>0.25265748787228293</v>
      </c>
      <c r="G123" s="71">
        <f t="shared" si="10"/>
        <v>0.26452276722117707</v>
      </c>
    </row>
    <row r="124" spans="2:7" x14ac:dyDescent="0.3">
      <c r="B124" s="35" t="s">
        <v>197</v>
      </c>
      <c r="C124" s="35"/>
      <c r="D124" s="71">
        <f t="shared" si="10"/>
        <v>0.51666134768573579</v>
      </c>
      <c r="E124" s="71">
        <f t="shared" si="10"/>
        <v>0.11059369866547396</v>
      </c>
      <c r="F124" s="71">
        <f t="shared" si="10"/>
        <v>0.32823985750000007</v>
      </c>
      <c r="G124" s="71">
        <f t="shared" si="10"/>
        <v>4.4505096148790169E-2</v>
      </c>
    </row>
    <row r="125" spans="2:7" x14ac:dyDescent="0.3">
      <c r="B125" s="35" t="s">
        <v>198</v>
      </c>
      <c r="C125" s="35"/>
      <c r="D125" s="71">
        <f t="shared" si="10"/>
        <v>0.39769197799808981</v>
      </c>
      <c r="E125" s="71">
        <f t="shared" si="10"/>
        <v>8.512776690845017E-2</v>
      </c>
      <c r="F125" s="71">
        <f t="shared" si="10"/>
        <v>0.25265748787228293</v>
      </c>
      <c r="G125" s="71">
        <f t="shared" si="10"/>
        <v>0.26452276722117707</v>
      </c>
    </row>
    <row r="126" spans="2:7" x14ac:dyDescent="0.3">
      <c r="B126" s="35" t="s">
        <v>199</v>
      </c>
      <c r="C126" s="35"/>
      <c r="D126" s="71">
        <f t="shared" si="10"/>
        <v>0.39769197799808981</v>
      </c>
      <c r="E126" s="71">
        <f t="shared" si="10"/>
        <v>8.512776690845017E-2</v>
      </c>
      <c r="F126" s="71">
        <f t="shared" si="10"/>
        <v>0.25265748787228293</v>
      </c>
      <c r="G126" s="71">
        <f t="shared" si="10"/>
        <v>0.26452276722117707</v>
      </c>
    </row>
    <row r="127" spans="2:7" x14ac:dyDescent="0.3">
      <c r="B127" s="35" t="s">
        <v>200</v>
      </c>
      <c r="C127" s="35"/>
      <c r="D127" s="71">
        <f t="shared" si="10"/>
        <v>0.39769197799808981</v>
      </c>
      <c r="E127" s="71">
        <f t="shared" si="10"/>
        <v>8.512776690845017E-2</v>
      </c>
      <c r="F127" s="71">
        <f t="shared" si="10"/>
        <v>0.25265748787228293</v>
      </c>
      <c r="G127" s="71">
        <f t="shared" si="10"/>
        <v>0.26452276722117707</v>
      </c>
    </row>
    <row r="128" spans="2:7" x14ac:dyDescent="0.3">
      <c r="B128" s="35" t="s">
        <v>201</v>
      </c>
      <c r="C128" s="35"/>
      <c r="D128" s="71">
        <f t="shared" si="10"/>
        <v>0.39769197799808981</v>
      </c>
      <c r="E128" s="71">
        <f t="shared" si="10"/>
        <v>8.512776690845017E-2</v>
      </c>
      <c r="F128" s="71">
        <f t="shared" si="10"/>
        <v>0.25265748787228293</v>
      </c>
      <c r="G128" s="71">
        <f t="shared" si="10"/>
        <v>0.26452276722117707</v>
      </c>
    </row>
    <row r="129" spans="2:7" x14ac:dyDescent="0.3">
      <c r="B129" s="35" t="s">
        <v>202</v>
      </c>
      <c r="C129" s="35"/>
      <c r="D129" s="71">
        <f t="shared" si="10"/>
        <v>0.39769197799808981</v>
      </c>
      <c r="E129" s="71">
        <f t="shared" si="10"/>
        <v>8.512776690845017E-2</v>
      </c>
      <c r="F129" s="71">
        <f t="shared" si="10"/>
        <v>0.25265748787228293</v>
      </c>
      <c r="G129" s="71">
        <f t="shared" si="10"/>
        <v>0.26452276722117707</v>
      </c>
    </row>
    <row r="130" spans="2:7" x14ac:dyDescent="0.3">
      <c r="B130" s="35" t="s">
        <v>203</v>
      </c>
      <c r="C130" s="35"/>
      <c r="D130" s="71">
        <f t="shared" si="10"/>
        <v>0.39769197799808981</v>
      </c>
      <c r="E130" s="71">
        <f t="shared" si="10"/>
        <v>8.512776690845017E-2</v>
      </c>
      <c r="F130" s="71">
        <f t="shared" si="10"/>
        <v>0.25265748787228293</v>
      </c>
      <c r="G130" s="71">
        <f t="shared" si="10"/>
        <v>0.26452276722117707</v>
      </c>
    </row>
    <row r="131" spans="2:7" x14ac:dyDescent="0.3">
      <c r="B131" s="35" t="s">
        <v>204</v>
      </c>
      <c r="C131" s="35"/>
      <c r="D131" s="71">
        <f t="shared" si="10"/>
        <v>0.39769197799808981</v>
      </c>
      <c r="E131" s="71">
        <f t="shared" si="10"/>
        <v>8.512776690845017E-2</v>
      </c>
      <c r="F131" s="71">
        <f t="shared" si="10"/>
        <v>0.25265748787228293</v>
      </c>
      <c r="G131" s="71">
        <f t="shared" si="10"/>
        <v>0.26452276722117707</v>
      </c>
    </row>
  </sheetData>
  <mergeCells count="14">
    <mergeCell ref="O4:Q4"/>
    <mergeCell ref="B76:H76"/>
    <mergeCell ref="J57:K57"/>
    <mergeCell ref="J58:K58"/>
    <mergeCell ref="J64:K64"/>
    <mergeCell ref="L64:M64"/>
    <mergeCell ref="J65:K65"/>
    <mergeCell ref="L65:M65"/>
    <mergeCell ref="B4:B5"/>
    <mergeCell ref="C4:E4"/>
    <mergeCell ref="F4:H4"/>
    <mergeCell ref="I4:K4"/>
    <mergeCell ref="B11:C11"/>
    <mergeCell ref="B57:H57"/>
  </mergeCells>
  <conditionalFormatting sqref="I25:J25">
    <cfRule type="cellIs" dxfId="237" priority="1" operator="equal">
      <formula>"Escassez Hídrica"</formula>
    </cfRule>
    <cfRule type="cellIs" dxfId="236" priority="2" operator="equal">
      <formula>"VERDE"</formula>
    </cfRule>
    <cfRule type="cellIs" dxfId="235" priority="3" operator="equal">
      <formula>"BVM2"</formula>
    </cfRule>
    <cfRule type="cellIs" dxfId="234" priority="4" operator="equal">
      <formula>"BVM1"</formula>
    </cfRule>
    <cfRule type="cellIs" dxfId="233" priority="5" operator="equal">
      <formula>"BAM"</formula>
    </cfRule>
  </conditionalFormatting>
  <conditionalFormatting sqref="M22">
    <cfRule type="cellIs" dxfId="232" priority="11" operator="equal">
      <formula>"VERDE"</formula>
    </cfRule>
    <cfRule type="cellIs" dxfId="231" priority="12" operator="equal">
      <formula>"BVM2"</formula>
    </cfRule>
    <cfRule type="cellIs" dxfId="230" priority="13" operator="equal">
      <formula>"BVM1"</formula>
    </cfRule>
    <cfRule type="cellIs" dxfId="229" priority="14" operator="equal">
      <formula>"BAM"</formula>
    </cfRule>
  </conditionalFormatting>
  <conditionalFormatting sqref="M26">
    <cfRule type="containsText" dxfId="228" priority="6" operator="containsText" text="Escassez Hídrica">
      <formula>NOT(ISERROR(SEARCH("Escassez Hídrica",M26)))</formula>
    </cfRule>
    <cfRule type="cellIs" dxfId="227" priority="7" operator="equal">
      <formula>"VERDE"</formula>
    </cfRule>
    <cfRule type="cellIs" dxfId="226" priority="8" operator="equal">
      <formula>"BVM2"</formula>
    </cfRule>
    <cfRule type="cellIs" dxfId="225" priority="9" operator="equal">
      <formula>"BVM1"</formula>
    </cfRule>
    <cfRule type="cellIs" dxfId="224" priority="10" operator="equal">
      <formula>"BAM"</formula>
    </cfRule>
  </conditionalFormatting>
  <dataValidations disablePrompts="1" count="2">
    <dataValidation type="list" allowBlank="1" showInputMessage="1" showErrorMessage="1" sqref="B13" xr:uid="{00000000-0002-0000-0500-000000000000}">
      <formula1>$B$82:$B$90</formula1>
    </dataValidation>
    <dataValidation type="list" allowBlank="1" showInputMessage="1" showErrorMessage="1" sqref="I25:J25" xr:uid="{00000000-0002-0000-05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FFFF00"/>
  </sheetPr>
  <dimension ref="A1:Y129"/>
  <sheetViews>
    <sheetView showGridLines="0" topLeftCell="A21" zoomScale="115" zoomScaleNormal="115" workbookViewId="0">
      <selection activeCell="D41" sqref="D41"/>
    </sheetView>
  </sheetViews>
  <sheetFormatPr defaultColWidth="9.21875" defaultRowHeight="14.4" x14ac:dyDescent="0.3"/>
  <cols>
    <col min="1" max="1" width="5.44140625" style="27" customWidth="1"/>
    <col min="2" max="2" width="30.5546875" style="27" bestFit="1" customWidth="1"/>
    <col min="3" max="3" width="13.21875" style="27" customWidth="1"/>
    <col min="4" max="4" width="13.44140625" style="27" customWidth="1"/>
    <col min="5" max="5" width="11.77734375" style="27" customWidth="1"/>
    <col min="6" max="6" width="12.21875" style="27" bestFit="1" customWidth="1"/>
    <col min="7" max="7" width="11.77734375" style="27" customWidth="1"/>
    <col min="8" max="8" width="13.21875" style="27" customWidth="1"/>
    <col min="9" max="12" width="11.77734375" style="27" customWidth="1"/>
    <col min="13" max="13" width="14.5546875" style="27" bestFit="1" customWidth="1"/>
    <col min="14" max="14" width="13.21875" style="27" bestFit="1" customWidth="1"/>
    <col min="15" max="15" width="14.44140625" style="27" customWidth="1"/>
    <col min="16" max="16" width="15.77734375" style="27" customWidth="1"/>
    <col min="17" max="17" width="11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208</v>
      </c>
      <c r="E2" s="421" t="s">
        <v>211</v>
      </c>
      <c r="F2" s="452">
        <f>'B1CDE '!F2</f>
        <v>46023</v>
      </c>
      <c r="G2" s="25" t="s">
        <v>210</v>
      </c>
      <c r="J2" s="25"/>
      <c r="K2" s="25"/>
    </row>
    <row r="4" spans="1:20" ht="15" customHeight="1" x14ac:dyDescent="0.3">
      <c r="B4" s="767" t="s">
        <v>212</v>
      </c>
      <c r="C4" s="769" t="s">
        <v>213</v>
      </c>
      <c r="D4" s="769"/>
      <c r="E4" s="769"/>
      <c r="F4" s="769" t="s">
        <v>214</v>
      </c>
      <c r="G4" s="769"/>
      <c r="H4" s="769"/>
      <c r="I4" s="783" t="s">
        <v>215</v>
      </c>
      <c r="J4" s="783"/>
      <c r="K4" s="783"/>
      <c r="M4" s="421" t="s">
        <v>211</v>
      </c>
      <c r="N4" s="452">
        <v>46023</v>
      </c>
      <c r="O4" s="776" t="s">
        <v>216</v>
      </c>
      <c r="P4" s="776"/>
      <c r="Q4" s="776"/>
    </row>
    <row r="5" spans="1:20" x14ac:dyDescent="0.3">
      <c r="B5" s="782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  <c r="M5" s="777"/>
      <c r="N5" s="777"/>
      <c r="O5" s="777"/>
      <c r="P5" s="777"/>
      <c r="Q5" s="777"/>
    </row>
    <row r="6" spans="1:20" x14ac:dyDescent="0.3">
      <c r="B6" s="102" t="s">
        <v>11</v>
      </c>
      <c r="C6" s="424">
        <v>0.39694999999999997</v>
      </c>
      <c r="D6" s="424">
        <v>0.28093000000000001</v>
      </c>
      <c r="E6" s="424">
        <f t="shared" ref="E6:E8" si="0">C6+D6</f>
        <v>0.67788000000000004</v>
      </c>
      <c r="F6" s="425">
        <v>0.45667000000000002</v>
      </c>
      <c r="G6" s="425">
        <v>0.33002999999999999</v>
      </c>
      <c r="H6" s="424">
        <f t="shared" ref="H6:H8" si="1">F6+G6</f>
        <v>0.78669999999999995</v>
      </c>
      <c r="I6" s="424">
        <f>((C6*$C$27)+(F6*$D$27))/($D$27+$C$27)</f>
        <v>0.45667000000000002</v>
      </c>
      <c r="J6" s="424">
        <f>((D6*$C$27)+(G6*$D$27))/($D$27+$C$27)</f>
        <v>0.33002999999999999</v>
      </c>
      <c r="K6" s="424">
        <f t="shared" ref="K6:K8" si="2">I6+J6</f>
        <v>0.78669999999999995</v>
      </c>
      <c r="M6" s="466" t="s">
        <v>219</v>
      </c>
      <c r="N6" s="466" t="s">
        <v>220</v>
      </c>
      <c r="O6" s="466" t="s">
        <v>221</v>
      </c>
      <c r="P6" s="466" t="s">
        <v>222</v>
      </c>
      <c r="Q6" s="466" t="s">
        <v>223</v>
      </c>
    </row>
    <row r="7" spans="1:20" x14ac:dyDescent="0.3">
      <c r="B7" s="102" t="s">
        <v>208</v>
      </c>
      <c r="C7" s="528"/>
      <c r="D7" s="528"/>
      <c r="E7" s="424"/>
      <c r="F7" s="425">
        <v>0.31629000000000002</v>
      </c>
      <c r="G7" s="425">
        <v>0.30475000000000002</v>
      </c>
      <c r="H7" s="424"/>
      <c r="I7" s="424"/>
      <c r="J7" s="424"/>
      <c r="K7" s="424"/>
      <c r="M7" s="557">
        <f>B27</f>
        <v>46123</v>
      </c>
      <c r="N7" s="462">
        <f>IF((N4-M7-1)&lt;0,0,(N4-M7-1))</f>
        <v>0</v>
      </c>
      <c r="O7" s="462">
        <f>P7-N4+1</f>
        <v>132</v>
      </c>
      <c r="P7" s="557">
        <f>E27</f>
        <v>46154</v>
      </c>
      <c r="Q7" s="557">
        <f>P7</f>
        <v>46154</v>
      </c>
    </row>
    <row r="8" spans="1:20" x14ac:dyDescent="0.3">
      <c r="A8" s="27" t="s">
        <v>210</v>
      </c>
      <c r="B8" s="464" t="s">
        <v>224</v>
      </c>
      <c r="C8" s="554">
        <v>0</v>
      </c>
      <c r="D8" s="553">
        <v>0</v>
      </c>
      <c r="E8" s="424">
        <f t="shared" si="0"/>
        <v>0</v>
      </c>
      <c r="F8" s="425">
        <v>0</v>
      </c>
      <c r="G8" s="552">
        <v>-1.2700000000000001E-3</v>
      </c>
      <c r="H8" s="424">
        <f t="shared" si="1"/>
        <v>-1.2700000000000001E-3</v>
      </c>
      <c r="I8" s="424">
        <v>0</v>
      </c>
      <c r="J8" s="428">
        <f>((D8*$N$7)+(G8*$O$7))/($O$7+$N$7)</f>
        <v>-1.2700000000000001E-3</v>
      </c>
      <c r="K8" s="424">
        <f t="shared" si="2"/>
        <v>-1.2700000000000001E-3</v>
      </c>
      <c r="O8" s="73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27"/>
      <c r="C10" s="27"/>
      <c r="D10" s="27"/>
      <c r="E10" s="27"/>
      <c r="F10" s="27"/>
      <c r="G10" s="27"/>
      <c r="M10" s="27"/>
      <c r="N10" s="27"/>
      <c r="O10" s="27"/>
      <c r="P10" s="27"/>
      <c r="Q10" s="27"/>
      <c r="R10" s="27"/>
      <c r="S10" s="27"/>
      <c r="T10" s="27"/>
    </row>
    <row r="11" spans="1:20" customFormat="1" x14ac:dyDescent="0.3">
      <c r="B11" s="770" t="s">
        <v>226</v>
      </c>
      <c r="C11" s="771"/>
      <c r="D11" s="27"/>
      <c r="E11" s="27"/>
      <c r="F11" s="27"/>
      <c r="G11" s="27"/>
      <c r="J11" s="453" t="s">
        <v>227</v>
      </c>
      <c r="K11" s="453" t="s">
        <v>228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54" t="s">
        <v>229</v>
      </c>
      <c r="C12" s="454" t="s">
        <v>230</v>
      </c>
      <c r="F12" s="27"/>
      <c r="G12" s="27"/>
      <c r="J12" s="455">
        <f>IF(AND($B$27&lt;$F$2,$E$27&lt;$F$2),#REF!,IF($B$27&lt;$F$2,K16,J16))</f>
        <v>0.198765645709125</v>
      </c>
      <c r="K12" s="456">
        <f>D37*J12</f>
        <v>23.851877485094999</v>
      </c>
      <c r="M12" s="27"/>
      <c r="N12" s="27"/>
      <c r="P12" s="27"/>
      <c r="Q12" s="27"/>
      <c r="R12" s="27"/>
      <c r="S12" s="27"/>
      <c r="T12" s="27"/>
    </row>
    <row r="13" spans="1:20" customFormat="1" x14ac:dyDescent="0.3">
      <c r="B13" s="421" t="s">
        <v>196</v>
      </c>
      <c r="C13" s="457">
        <f>J65</f>
        <v>75.400000000000006</v>
      </c>
      <c r="F13" s="27"/>
      <c r="G13" s="27"/>
      <c r="J13" s="27"/>
      <c r="K13" s="27"/>
      <c r="M13" s="27"/>
      <c r="N13" s="27"/>
      <c r="P13" s="27"/>
      <c r="Q13" s="27"/>
      <c r="R13" s="27"/>
      <c r="S13" s="27"/>
      <c r="T13" s="27"/>
    </row>
    <row r="14" spans="1:20" customFormat="1" ht="22.5" customHeight="1" x14ac:dyDescent="0.3">
      <c r="B14" s="26"/>
      <c r="C14" s="26"/>
      <c r="D14" s="27"/>
      <c r="E14" s="27"/>
      <c r="F14" s="27"/>
      <c r="G14" s="27"/>
      <c r="I14" s="317" t="s">
        <v>231</v>
      </c>
      <c r="J14" s="317" t="s">
        <v>232</v>
      </c>
      <c r="K14" s="317" t="s">
        <v>233</v>
      </c>
      <c r="L14" s="27"/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58"/>
      <c r="C15" s="459" t="s">
        <v>170</v>
      </c>
      <c r="D15" s="27"/>
      <c r="E15" s="27"/>
      <c r="F15" s="27"/>
      <c r="G15" s="27"/>
      <c r="I15" s="318" t="s">
        <v>234</v>
      </c>
      <c r="J15" s="318" t="s">
        <v>234</v>
      </c>
      <c r="K15" s="318" t="s">
        <v>234</v>
      </c>
      <c r="L15" s="27"/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58" t="s">
        <v>190</v>
      </c>
      <c r="C16" s="457">
        <f>$C$13*(VLOOKUP($B$13,B121:G129,3,0))</f>
        <v>29.985975141055974</v>
      </c>
      <c r="D16" s="27"/>
      <c r="E16" s="27"/>
      <c r="F16" s="27"/>
      <c r="G16" s="27"/>
      <c r="I16" s="319">
        <v>0.19769341067594101</v>
      </c>
      <c r="J16" s="319">
        <v>0.198765645709125</v>
      </c>
      <c r="K16" s="319">
        <f>((I16*$C$27)+(J16*$D$27))/($D$27+$C$27)</f>
        <v>0.198765645709125</v>
      </c>
      <c r="L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58" t="s">
        <v>192</v>
      </c>
      <c r="C17" s="457">
        <f>$C$13*(VLOOKUP($B$13,B121:G129,5,0))</f>
        <v>19.050374585570133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58" t="s">
        <v>191</v>
      </c>
      <c r="C18" s="457">
        <f>$C$13*(VLOOKUP($B$13,B121:G129,4,0))</f>
        <v>6.4186336248971436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58" t="s">
        <v>235</v>
      </c>
      <c r="C19" s="457">
        <f>$C$13*(VLOOKUP($B$13,B121:G129,6,0))</f>
        <v>19.945016648476752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58" t="s">
        <v>236</v>
      </c>
      <c r="C20" s="457">
        <f>L65</f>
        <v>3.1171300635218162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459" t="s">
        <v>237</v>
      </c>
      <c r="C21" s="460">
        <f>SUM(C16:C20)</f>
        <v>78.517130063521819</v>
      </c>
      <c r="D21" s="27"/>
      <c r="E21" s="27"/>
      <c r="F21" s="27"/>
      <c r="G21" s="27"/>
      <c r="M21" s="27"/>
      <c r="N21" s="27"/>
      <c r="P21" s="27"/>
      <c r="Q21" s="27"/>
      <c r="R21" s="27"/>
      <c r="S21" s="27"/>
      <c r="T21" s="27"/>
    </row>
    <row r="22" spans="1:25" customFormat="1" x14ac:dyDescent="0.3">
      <c r="B22" s="27"/>
      <c r="C22" s="27"/>
      <c r="D22" s="27"/>
      <c r="E22" s="27"/>
      <c r="F22" s="27"/>
      <c r="G22" s="27"/>
      <c r="M22" s="13" t="s">
        <v>238</v>
      </c>
      <c r="N22" s="13" t="s">
        <v>239</v>
      </c>
      <c r="P22" s="27"/>
      <c r="Q22" s="27"/>
      <c r="R22" s="27"/>
      <c r="S22" s="27"/>
      <c r="T22" s="27"/>
    </row>
    <row r="23" spans="1:25" x14ac:dyDescent="0.3">
      <c r="I23" s="25"/>
      <c r="L23" s="29"/>
      <c r="M23" s="21" t="s">
        <v>74</v>
      </c>
      <c r="N23" s="14">
        <v>0</v>
      </c>
      <c r="R23"/>
      <c r="S23"/>
      <c r="T23"/>
      <c r="U23"/>
      <c r="V23"/>
      <c r="W23"/>
      <c r="X23"/>
      <c r="Y23"/>
    </row>
    <row r="24" spans="1:25" x14ac:dyDescent="0.3">
      <c r="M24" s="124" t="s">
        <v>240</v>
      </c>
      <c r="N24" s="125">
        <v>1.8849999999999999E-2</v>
      </c>
      <c r="U24"/>
      <c r="V24"/>
      <c r="W24"/>
      <c r="X24"/>
      <c r="Y24"/>
    </row>
    <row r="25" spans="1:25" x14ac:dyDescent="0.3">
      <c r="A25" s="27" t="s">
        <v>210</v>
      </c>
      <c r="G25" s="25"/>
      <c r="H25" s="231">
        <f>EOMONTH(B27,0)+1</f>
        <v>46143</v>
      </c>
      <c r="I25" s="21" t="s">
        <v>74</v>
      </c>
      <c r="J25" s="21" t="s">
        <v>240</v>
      </c>
      <c r="M25" s="126" t="s">
        <v>241</v>
      </c>
      <c r="N25" s="127">
        <v>4.4630000000000003E-2</v>
      </c>
      <c r="U25" s="25"/>
      <c r="V25" s="25"/>
      <c r="W25" s="25"/>
      <c r="X25" s="25"/>
      <c r="Y25" s="25"/>
    </row>
    <row r="26" spans="1:25" ht="31.5" customHeight="1" x14ac:dyDescent="0.3">
      <c r="B26" s="22" t="s">
        <v>219</v>
      </c>
      <c r="C26" s="22" t="s">
        <v>433</v>
      </c>
      <c r="D26" s="22" t="s">
        <v>432</v>
      </c>
      <c r="E26" s="232" t="s">
        <v>222</v>
      </c>
      <c r="F26" s="22" t="s">
        <v>223</v>
      </c>
      <c r="G26" s="25"/>
      <c r="H26" s="22" t="s">
        <v>219</v>
      </c>
      <c r="I26" s="22" t="s">
        <v>244</v>
      </c>
      <c r="J26" s="22" t="s">
        <v>242</v>
      </c>
      <c r="K26" s="22" t="s">
        <v>222</v>
      </c>
      <c r="M26" s="9" t="s">
        <v>243</v>
      </c>
      <c r="N26" s="10">
        <v>7.8770000000000007E-2</v>
      </c>
    </row>
    <row r="27" spans="1:25" x14ac:dyDescent="0.3">
      <c r="B27" s="122">
        <f>'B1CDE '!B26</f>
        <v>46123</v>
      </c>
      <c r="C27" s="32">
        <f>IF((F2-B27-1)&lt;0,0,(F2-B27-1))</f>
        <v>0</v>
      </c>
      <c r="D27" s="32">
        <f>E27-F2+1</f>
        <v>132</v>
      </c>
      <c r="E27" s="122">
        <f>'B1CDE '!E26</f>
        <v>46154</v>
      </c>
      <c r="F27" s="461">
        <f>E27</f>
        <v>46154</v>
      </c>
      <c r="G27" s="25"/>
      <c r="H27" s="33">
        <f>B27</f>
        <v>46123</v>
      </c>
      <c r="I27" s="34">
        <f>IF((H25-H27-1)&lt;0,0,(H25-H27-1))</f>
        <v>19</v>
      </c>
      <c r="J27" s="34">
        <f>K27-H25+1</f>
        <v>12</v>
      </c>
      <c r="K27" s="33">
        <f>E27</f>
        <v>46154</v>
      </c>
      <c r="M27" s="21" t="s">
        <v>245</v>
      </c>
      <c r="N27" s="130">
        <v>0.14199999999999999</v>
      </c>
    </row>
    <row r="30" spans="1:25" x14ac:dyDescent="0.3">
      <c r="B30" s="525" t="s">
        <v>246</v>
      </c>
      <c r="C30" s="526">
        <v>66</v>
      </c>
      <c r="D30" s="526">
        <v>120</v>
      </c>
      <c r="E30" s="526">
        <f>C30-D30</f>
        <v>-54</v>
      </c>
    </row>
    <row r="31" spans="1:25" x14ac:dyDescent="0.3">
      <c r="B31" s="525" t="s">
        <v>247</v>
      </c>
      <c r="C31" s="526">
        <v>84</v>
      </c>
      <c r="D31" s="526">
        <v>120</v>
      </c>
      <c r="E31" s="526">
        <f>C31-D31</f>
        <v>-36</v>
      </c>
    </row>
    <row r="33" spans="2:19" x14ac:dyDescent="0.3">
      <c r="P33"/>
      <c r="Q33"/>
      <c r="R33"/>
    </row>
    <row r="35" spans="2:19" ht="42" customHeight="1" x14ac:dyDescent="0.3">
      <c r="B35" s="160" t="s">
        <v>53</v>
      </c>
      <c r="C35" s="160" t="s">
        <v>248</v>
      </c>
      <c r="D35" s="160" t="s">
        <v>249</v>
      </c>
      <c r="E35" s="161" t="s">
        <v>250</v>
      </c>
      <c r="F35" s="161" t="s">
        <v>251</v>
      </c>
      <c r="G35" s="161" t="s">
        <v>252</v>
      </c>
      <c r="H35" s="161" t="s">
        <v>253</v>
      </c>
      <c r="I35" s="161" t="s">
        <v>254</v>
      </c>
      <c r="J35" s="161" t="s">
        <v>255</v>
      </c>
      <c r="K35" s="162" t="s">
        <v>256</v>
      </c>
      <c r="L35" s="160" t="s">
        <v>257</v>
      </c>
      <c r="M35" s="161" t="s">
        <v>258</v>
      </c>
      <c r="N35" s="161" t="s">
        <v>259</v>
      </c>
      <c r="O35" s="161" t="s">
        <v>260</v>
      </c>
    </row>
    <row r="36" spans="2:19" x14ac:dyDescent="0.3"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46"/>
      <c r="M36" s="163"/>
      <c r="N36" s="163"/>
      <c r="O36" s="163"/>
    </row>
    <row r="37" spans="2:19" x14ac:dyDescent="0.3">
      <c r="B37" s="163" t="s">
        <v>261</v>
      </c>
      <c r="C37" s="164" t="s">
        <v>262</v>
      </c>
      <c r="D37" s="228">
        <v>120</v>
      </c>
      <c r="E37" s="171">
        <f>(ROUND(D37*K37,2)+ROUND(G37,2)+ROUND(J37,2))/ROUND(D37,4)</f>
        <v>0.32933333333333337</v>
      </c>
      <c r="F37" s="169">
        <f>ROUND(D37*E37,2)</f>
        <v>39.520000000000003</v>
      </c>
      <c r="G37" s="169">
        <f>((D37*K37)/(1-$N$37-$N$38))*($N$37+$N$38)</f>
        <v>1.56909878163074</v>
      </c>
      <c r="H37" s="176">
        <v>0</v>
      </c>
      <c r="I37" s="247">
        <v>0</v>
      </c>
      <c r="J37" s="176">
        <f>H37*$I$37</f>
        <v>0</v>
      </c>
      <c r="K37" s="267">
        <f>F7</f>
        <v>0.31629000000000002</v>
      </c>
      <c r="L37" s="95" t="s">
        <v>263</v>
      </c>
      <c r="M37" s="169">
        <f>D75</f>
        <v>78.517130063521819</v>
      </c>
      <c r="N37" s="237">
        <f>'B1C ICMS'!N31</f>
        <v>7.1000000000000004E-3</v>
      </c>
      <c r="O37" s="178">
        <f>ROUND(M37*N37,2)</f>
        <v>0.56000000000000005</v>
      </c>
    </row>
    <row r="38" spans="2:19" x14ac:dyDescent="0.3">
      <c r="B38" s="163" t="s">
        <v>266</v>
      </c>
      <c r="C38" s="164" t="s">
        <v>262</v>
      </c>
      <c r="D38" s="184">
        <f>D37</f>
        <v>120</v>
      </c>
      <c r="E38" s="171">
        <f>(ROUND(D38*K38,2)+ROUND(G38,2)+ROUND(J38,2))/ROUND(D38,4)</f>
        <v>0.3173333333333333</v>
      </c>
      <c r="F38" s="169">
        <f t="shared" ref="F38:F44" si="3">ROUND(D38*E38,2)</f>
        <v>38.08</v>
      </c>
      <c r="G38" s="169">
        <f>((D38*K38)/(1-$N$37-$N$38))*($N$37+$N$38)</f>
        <v>1.5118494220556076</v>
      </c>
      <c r="H38" s="176">
        <v>0</v>
      </c>
      <c r="I38" s="163"/>
      <c r="J38" s="176">
        <f t="shared" ref="J38:J44" si="4">H38*$I$37</f>
        <v>0</v>
      </c>
      <c r="K38" s="267">
        <f>G7</f>
        <v>0.30475000000000002</v>
      </c>
      <c r="L38" s="95" t="s">
        <v>265</v>
      </c>
      <c r="M38" s="169">
        <f>M37</f>
        <v>78.517130063521819</v>
      </c>
      <c r="N38" s="237">
        <f>'B1C ICMS'!N32</f>
        <v>3.2599999999999997E-2</v>
      </c>
      <c r="O38" s="178">
        <f>ROUND(M38*N38,2)</f>
        <v>2.56</v>
      </c>
    </row>
    <row r="39" spans="2:19" x14ac:dyDescent="0.3">
      <c r="B39" s="163" t="s">
        <v>264</v>
      </c>
      <c r="C39" s="164" t="s">
        <v>262</v>
      </c>
      <c r="D39" s="184">
        <v>22</v>
      </c>
      <c r="E39" s="171">
        <f>(ROUND(D39*K39,2)+ROUND(G39,2)+ROUND(J39,2))/IF(ROUND(D39,4)=0, 1, ROUND(D39,4))</f>
        <v>0.47590909090909095</v>
      </c>
      <c r="F39" s="169">
        <f t="shared" ref="F39:F40" si="5">ROUND(D39*E39,2)</f>
        <v>10.47</v>
      </c>
      <c r="G39" s="169">
        <f t="shared" ref="G39:G40" si="6">((D39*K39)/(1-$N$37-$N$38))*($N$37+$N$38)</f>
        <v>0.4153447651775487</v>
      </c>
      <c r="H39" s="176">
        <v>0</v>
      </c>
      <c r="I39" s="163"/>
      <c r="J39" s="176">
        <f t="shared" ref="J39:J40" si="7">H39*$I$37</f>
        <v>0</v>
      </c>
      <c r="K39" s="529">
        <f>F6</f>
        <v>0.45667000000000002</v>
      </c>
      <c r="L39" s="95"/>
      <c r="M39" s="169"/>
      <c r="N39" s="237"/>
      <c r="O39" s="178"/>
    </row>
    <row r="40" spans="2:19" x14ac:dyDescent="0.3">
      <c r="B40" s="163" t="s">
        <v>267</v>
      </c>
      <c r="C40" s="164" t="s">
        <v>262</v>
      </c>
      <c r="D40" s="184">
        <f>D39</f>
        <v>22</v>
      </c>
      <c r="E40" s="171">
        <f>(ROUND(D40*K40,2)+ROUND(G40,2)+ROUND(J40,2))/IF(ROUND(D40,4)=0, 1, ROUND(D40,4))</f>
        <v>0.34363636363636363</v>
      </c>
      <c r="F40" s="169">
        <f t="shared" si="5"/>
        <v>7.56</v>
      </c>
      <c r="G40" s="169">
        <f t="shared" si="6"/>
        <v>0.30016474226804118</v>
      </c>
      <c r="H40" s="176">
        <v>0</v>
      </c>
      <c r="I40" s="163"/>
      <c r="J40" s="176">
        <f t="shared" si="7"/>
        <v>0</v>
      </c>
      <c r="K40" s="529">
        <f>G6</f>
        <v>0.33002999999999999</v>
      </c>
      <c r="L40" s="95"/>
      <c r="M40" s="169"/>
      <c r="N40" s="237"/>
      <c r="O40" s="178"/>
    </row>
    <row r="41" spans="2:19" x14ac:dyDescent="0.3">
      <c r="B41" s="163" t="s">
        <v>268</v>
      </c>
      <c r="C41" s="164" t="s">
        <v>262</v>
      </c>
      <c r="D41" s="184">
        <f>IF($I$25=M24,(D37*(I27)/(I27+J27)),0)+IF($J$25=M24,(D37*(J27)/(I27+J27)),0)</f>
        <v>46.451612903225808</v>
      </c>
      <c r="E41" s="171">
        <f>IFERROR((ROUND(D41*K41,2)+ROUND(G41,2)+ROUND(J41,2))/ROUND(D41,4), 0)</f>
        <v>1.9805561057100296E-2</v>
      </c>
      <c r="F41" s="169">
        <f t="shared" si="3"/>
        <v>0.92</v>
      </c>
      <c r="G41" s="169">
        <f t="shared" ref="G41:G44" si="8">((D41*K41)/(1-$N$37-$N$38))*($N$37+$N$38)</f>
        <v>3.619892976993077E-2</v>
      </c>
      <c r="H41" s="176">
        <v>0</v>
      </c>
      <c r="I41" s="163"/>
      <c r="J41" s="176">
        <f t="shared" si="4"/>
        <v>0</v>
      </c>
      <c r="K41" s="171">
        <f>N24</f>
        <v>1.8849999999999999E-2</v>
      </c>
      <c r="L41" s="63"/>
      <c r="M41" s="166"/>
      <c r="N41" s="166"/>
      <c r="O41" s="166"/>
    </row>
    <row r="42" spans="2:19" x14ac:dyDescent="0.3">
      <c r="B42" s="163" t="s">
        <v>269</v>
      </c>
      <c r="C42" s="164" t="s">
        <v>262</v>
      </c>
      <c r="D42" s="184">
        <f>IF($I$25=M25,(D37*(I27)/(I27+J27)),0)+IF($J$25=M25,(D37*(J27)/(I27+J27)),0)</f>
        <v>0</v>
      </c>
      <c r="E42" s="171">
        <f t="shared" ref="E42:E44" si="9">K42/(1-$N$37-$N$38)/(1-$I$37)</f>
        <v>4.6475059877121735E-2</v>
      </c>
      <c r="F42" s="169">
        <f t="shared" si="3"/>
        <v>0</v>
      </c>
      <c r="G42" s="169">
        <f t="shared" si="8"/>
        <v>0</v>
      </c>
      <c r="H42" s="176">
        <v>0</v>
      </c>
      <c r="I42" s="163"/>
      <c r="J42" s="176">
        <f t="shared" si="4"/>
        <v>0</v>
      </c>
      <c r="K42" s="171">
        <f>N25</f>
        <v>4.4630000000000003E-2</v>
      </c>
      <c r="O42" s="46"/>
      <c r="S42" s="43"/>
    </row>
    <row r="43" spans="2:19" x14ac:dyDescent="0.3">
      <c r="B43" s="163" t="s">
        <v>270</v>
      </c>
      <c r="C43" s="164" t="s">
        <v>262</v>
      </c>
      <c r="D43" s="184">
        <f>IF($I$25=M26,(D37*(I27)/(I27+J27)),0)+IF($J$25=M26,(D37*(J27)/(I27+J27)),0)</f>
        <v>0</v>
      </c>
      <c r="E43" s="171">
        <f t="shared" si="9"/>
        <v>8.202645006768719E-2</v>
      </c>
      <c r="F43" s="169">
        <f t="shared" si="3"/>
        <v>0</v>
      </c>
      <c r="G43" s="169">
        <f t="shared" si="8"/>
        <v>0</v>
      </c>
      <c r="H43" s="176">
        <v>0</v>
      </c>
      <c r="I43" s="163"/>
      <c r="J43" s="176">
        <f t="shared" si="4"/>
        <v>0</v>
      </c>
      <c r="K43" s="171">
        <f>N26</f>
        <v>7.8770000000000007E-2</v>
      </c>
      <c r="O43" s="46"/>
      <c r="P43" s="43"/>
      <c r="Q43" s="174"/>
      <c r="R43" s="187"/>
      <c r="S43" s="43"/>
    </row>
    <row r="44" spans="2:19" x14ac:dyDescent="0.3">
      <c r="B44" s="163" t="s">
        <v>285</v>
      </c>
      <c r="C44" s="164" t="s">
        <v>262</v>
      </c>
      <c r="D44" s="184">
        <f>IF($I$25=M27,(D37*(I27)/(I27+J27)),0)+IF($J$25=M27,(D37*(J27)/(I27+J27)),0)</f>
        <v>0</v>
      </c>
      <c r="E44" s="171">
        <f t="shared" si="9"/>
        <v>0.14787045714880764</v>
      </c>
      <c r="F44" s="169">
        <f t="shared" si="3"/>
        <v>0</v>
      </c>
      <c r="G44" s="169">
        <f t="shared" si="8"/>
        <v>0</v>
      </c>
      <c r="H44" s="176">
        <f t="shared" ref="H44" si="10">(D44*K44)/(1-$N$37-$N$38)/(1-$I$37)</f>
        <v>0</v>
      </c>
      <c r="I44" s="163"/>
      <c r="J44" s="176">
        <f t="shared" si="4"/>
        <v>0</v>
      </c>
      <c r="K44" s="171">
        <f>N27</f>
        <v>0.14199999999999999</v>
      </c>
      <c r="O44" s="46"/>
      <c r="R44" s="187"/>
    </row>
    <row r="45" spans="2:19" x14ac:dyDescent="0.3">
      <c r="B45" s="343" t="s">
        <v>271</v>
      </c>
      <c r="C45" s="343"/>
      <c r="D45" s="344"/>
      <c r="E45" s="343"/>
      <c r="F45" s="527">
        <v>2.13</v>
      </c>
      <c r="G45" s="163"/>
      <c r="H45" s="163"/>
      <c r="I45" s="163"/>
      <c r="J45" s="163"/>
      <c r="K45" s="163"/>
      <c r="O45" s="46"/>
      <c r="R45" s="187"/>
    </row>
    <row r="46" spans="2:19" x14ac:dyDescent="0.3">
      <c r="B46" s="343" t="s">
        <v>271</v>
      </c>
      <c r="C46" s="343"/>
      <c r="D46" s="344"/>
      <c r="E46" s="343"/>
      <c r="F46" s="527">
        <v>5.41</v>
      </c>
      <c r="G46" s="163"/>
      <c r="H46" s="163"/>
      <c r="I46" s="163"/>
      <c r="J46" s="163"/>
      <c r="K46" s="163"/>
      <c r="O46" s="46"/>
      <c r="R46" s="187"/>
    </row>
    <row r="47" spans="2:19" x14ac:dyDescent="0.3">
      <c r="B47" s="343" t="s">
        <v>271</v>
      </c>
      <c r="C47" s="343"/>
      <c r="D47" s="344"/>
      <c r="E47" s="343"/>
      <c r="F47" s="345">
        <v>0</v>
      </c>
      <c r="G47" s="163"/>
      <c r="H47" s="163"/>
      <c r="I47" s="163"/>
      <c r="J47" s="163"/>
      <c r="K47" s="163"/>
      <c r="O47" s="46"/>
      <c r="R47" s="187"/>
    </row>
    <row r="48" spans="2:19" x14ac:dyDescent="0.3">
      <c r="B48" s="343" t="s">
        <v>271</v>
      </c>
      <c r="C48" s="343"/>
      <c r="D48" s="344"/>
      <c r="E48" s="343"/>
      <c r="F48" s="345">
        <v>0</v>
      </c>
      <c r="G48" s="163"/>
      <c r="H48" s="163"/>
      <c r="I48" s="163"/>
      <c r="J48" s="163"/>
      <c r="K48" s="163"/>
      <c r="O48" s="46"/>
      <c r="R48" s="187"/>
    </row>
    <row r="49" spans="2:25" x14ac:dyDescent="0.3">
      <c r="B49" s="343" t="s">
        <v>272</v>
      </c>
      <c r="C49" s="343"/>
      <c r="D49" s="344"/>
      <c r="E49" s="343"/>
      <c r="F49" s="345">
        <v>0</v>
      </c>
      <c r="G49" s="163"/>
      <c r="H49" s="163"/>
      <c r="I49" s="163"/>
      <c r="J49" s="163"/>
      <c r="K49" s="163"/>
      <c r="O49" s="46"/>
    </row>
    <row r="50" spans="2:25" x14ac:dyDescent="0.3">
      <c r="B50" s="163"/>
      <c r="C50" s="163"/>
      <c r="D50" s="184"/>
      <c r="E50" s="163"/>
      <c r="F50" s="163">
        <v>0</v>
      </c>
      <c r="G50" s="163"/>
      <c r="H50" s="163"/>
      <c r="I50" s="163"/>
      <c r="J50" s="163"/>
      <c r="K50" s="163"/>
      <c r="O50" s="46"/>
    </row>
    <row r="51" spans="2:25" x14ac:dyDescent="0.3">
      <c r="B51" s="163"/>
      <c r="C51" s="163"/>
      <c r="D51" s="184"/>
      <c r="E51" s="163"/>
      <c r="F51" s="163"/>
      <c r="G51" s="163"/>
      <c r="H51" s="163"/>
      <c r="I51" s="163"/>
      <c r="J51" s="163"/>
      <c r="K51" s="163"/>
      <c r="O51" s="46"/>
    </row>
    <row r="52" spans="2:25" x14ac:dyDescent="0.3">
      <c r="B52" s="170" t="s">
        <v>177</v>
      </c>
      <c r="C52" s="166"/>
      <c r="D52" s="185"/>
      <c r="E52" s="166"/>
      <c r="F52" s="172">
        <f>SUM(F37:F51)</f>
        <v>104.08999999999999</v>
      </c>
      <c r="G52" s="175">
        <f>SUM(G37:G51)</f>
        <v>3.8326566409018681</v>
      </c>
      <c r="H52" s="177">
        <f>SUM(H37:H51)</f>
        <v>0</v>
      </c>
      <c r="I52" s="166"/>
      <c r="J52" s="177">
        <f>SUM(J37:J51)</f>
        <v>0</v>
      </c>
      <c r="K52" s="166"/>
      <c r="L52" s="53"/>
      <c r="M52" s="53"/>
      <c r="N52" s="53"/>
      <c r="O52" s="241">
        <f>F52</f>
        <v>104.08999999999999</v>
      </c>
    </row>
    <row r="54" spans="2:25" x14ac:dyDescent="0.3">
      <c r="B54" s="238" t="s">
        <v>273</v>
      </c>
      <c r="C54" s="239"/>
      <c r="D54" s="240"/>
      <c r="E54" s="240"/>
      <c r="F54" s="251">
        <f>D37*J8</f>
        <v>-0.15240000000000001</v>
      </c>
    </row>
    <row r="57" spans="2:25" ht="15" thickBot="1" x14ac:dyDescent="0.35"/>
    <row r="58" spans="2:25" s="1" customFormat="1" ht="15" thickBot="1" x14ac:dyDescent="0.35">
      <c r="B58" s="779" t="s">
        <v>274</v>
      </c>
      <c r="C58" s="780"/>
      <c r="D58" s="780"/>
      <c r="E58" s="780"/>
      <c r="F58" s="780"/>
      <c r="G58" s="780"/>
      <c r="H58" s="781"/>
      <c r="I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2:25" s="1" customFormat="1" x14ac:dyDescent="0.3">
      <c r="B59" s="594"/>
      <c r="C59" s="336"/>
      <c r="D59" s="26" t="s">
        <v>275</v>
      </c>
      <c r="E59" s="26" t="s">
        <v>6</v>
      </c>
      <c r="F59" s="26" t="s">
        <v>7</v>
      </c>
      <c r="G59" s="26" t="s">
        <v>218</v>
      </c>
      <c r="H59" s="95" t="s">
        <v>170</v>
      </c>
      <c r="I59"/>
      <c r="J59" s="778" t="s">
        <v>274</v>
      </c>
      <c r="K59" s="778"/>
      <c r="L59" s="27"/>
      <c r="M59" s="27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2:25" s="1" customFormat="1" x14ac:dyDescent="0.3">
      <c r="B60" s="595" t="s">
        <v>276</v>
      </c>
      <c r="C60" s="595"/>
      <c r="D60" s="462">
        <f>D37</f>
        <v>120</v>
      </c>
      <c r="E60" s="462">
        <f>IF(AND($B$27&lt;$F$2,$E$27&lt;$F$2),C6,IF($B$27&lt;$F$2,I6,F6))</f>
        <v>0.45667000000000002</v>
      </c>
      <c r="F60" s="462">
        <f>IF(AND($B$27&lt;$F$2,$E$27&lt;$F$2),D6,IF($B$27&lt;$F$2,J6,G6))</f>
        <v>0.33002999999999999</v>
      </c>
      <c r="G60" s="462"/>
      <c r="H60" s="462">
        <f>ROUND((D60*E60),2)+ROUND((D60*F60),2)</f>
        <v>94.4</v>
      </c>
      <c r="I60"/>
      <c r="J60" s="761">
        <f>H60-H61</f>
        <v>19.879999999999995</v>
      </c>
      <c r="K60" s="762"/>
      <c r="L60" s="27"/>
      <c r="M60" s="27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2:25" s="1" customFormat="1" x14ac:dyDescent="0.3">
      <c r="B61" s="595" t="s">
        <v>277</v>
      </c>
      <c r="C61" s="595"/>
      <c r="D61" s="462">
        <f>D38</f>
        <v>120</v>
      </c>
      <c r="E61" s="462">
        <f>IF(AND($B$27&lt;$F$2,$E$27&lt;$F$2),C7,IF($B$27&lt;$F$2,I7,F7))</f>
        <v>0.31629000000000002</v>
      </c>
      <c r="F61" s="462">
        <f>IF(AND($B$27&lt;$F$2,$E$27&lt;$F$2),D7,IF($B$27&lt;$F$2,J7,G7))</f>
        <v>0.30475000000000002</v>
      </c>
      <c r="G61" s="462"/>
      <c r="H61" s="462">
        <f>ROUND((D61*E61),2)+ROUND((D61*F61),2)</f>
        <v>74.52000000000001</v>
      </c>
      <c r="I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2:25" s="1" customFormat="1" x14ac:dyDescent="0.3">
      <c r="B62" s="38"/>
      <c r="C62" s="27"/>
      <c r="D62" s="40"/>
      <c r="E62" s="43"/>
      <c r="F62" s="44"/>
      <c r="G62" s="44"/>
      <c r="H62" s="42"/>
      <c r="I62"/>
      <c r="J62"/>
      <c r="K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2:25" s="1" customFormat="1" x14ac:dyDescent="0.3">
      <c r="B63" s="562" t="s">
        <v>276</v>
      </c>
      <c r="C63" s="563"/>
      <c r="D63" s="564"/>
      <c r="E63" s="565"/>
      <c r="F63" s="566"/>
      <c r="G63" s="566"/>
      <c r="H63" s="567"/>
      <c r="I63"/>
      <c r="J63"/>
      <c r="K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2:25" s="1" customFormat="1" x14ac:dyDescent="0.3">
      <c r="B64" s="562" t="s">
        <v>277</v>
      </c>
      <c r="C64" s="563"/>
      <c r="D64" s="568">
        <f>D61</f>
        <v>120</v>
      </c>
      <c r="E64" s="565">
        <f>E61</f>
        <v>0.31629000000000002</v>
      </c>
      <c r="F64" s="565">
        <f>F61</f>
        <v>0.30475000000000002</v>
      </c>
      <c r="G64" s="565">
        <f>SUM(E64:F64)</f>
        <v>0.62104000000000004</v>
      </c>
      <c r="H64" s="569">
        <f>ROUND((D64*E64),2)+ROUND((D64*F64),2)</f>
        <v>74.52000000000001</v>
      </c>
      <c r="I64"/>
      <c r="J64" s="775" t="s">
        <v>278</v>
      </c>
      <c r="K64" s="775"/>
      <c r="L64" s="775" t="s">
        <v>279</v>
      </c>
      <c r="M64" s="775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45"/>
      <c r="E65" s="27"/>
      <c r="F65" s="27"/>
      <c r="G65" s="27"/>
      <c r="H65" s="46"/>
      <c r="I65"/>
      <c r="J65" s="761">
        <f>SUM(H64:H69)</f>
        <v>75.400000000000006</v>
      </c>
      <c r="K65" s="762"/>
      <c r="L65" s="761">
        <f>SUM(H75:H77)</f>
        <v>3.1171300635218162</v>
      </c>
      <c r="M65" s="762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268</v>
      </c>
      <c r="C66" s="27"/>
      <c r="D66" s="47">
        <f>IF($I$25=$M$24,(D60*(I27)/(I27+J27)),0)+IF($J$25=$M$24,(D60*(J27)/(I27+J27)),0)</f>
        <v>46.451612903225808</v>
      </c>
      <c r="E66" s="27"/>
      <c r="F66" s="48">
        <f>N24</f>
        <v>1.8849999999999999E-2</v>
      </c>
      <c r="G66" s="48"/>
      <c r="H66" s="42">
        <f>ROUND(D66*(E66+F66),2)</f>
        <v>0.88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269</v>
      </c>
      <c r="C67" s="27"/>
      <c r="D67" s="47">
        <f>IF($I$25=$M$25,(D60*(I27)/(I27+J27)),0)+IF($J$25=$M$25,(D60*(J27)/(I27+J27)),0)</f>
        <v>0</v>
      </c>
      <c r="E67" s="27"/>
      <c r="F67" s="48">
        <f>N25</f>
        <v>4.4630000000000003E-2</v>
      </c>
      <c r="G67" s="48"/>
      <c r="H67" s="42">
        <f>ROUND(D67*(E67+F67),2)</f>
        <v>0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270</v>
      </c>
      <c r="C68" s="27"/>
      <c r="D68" s="47">
        <f>IF($I$25=$M$26,(D60*(I27)/(I27+J27)),0)+IF($J$25=$M$26,(D60*(J27)/(I27+J27)),0)</f>
        <v>0</v>
      </c>
      <c r="E68" s="27"/>
      <c r="F68" s="48">
        <f>N26</f>
        <v>7.8770000000000007E-2</v>
      </c>
      <c r="G68" s="48"/>
      <c r="H68" s="42">
        <f>ROUND(D68*(E68+F68),2)</f>
        <v>0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38" t="s">
        <v>280</v>
      </c>
      <c r="C69" s="27"/>
      <c r="D69" s="47">
        <f>IF($I$25=$M$27,(D60*(I27)/(I27+J27)),0)+IF($J$25=$M$27,(D60*(J27)/(I27+J27)),0)</f>
        <v>0</v>
      </c>
      <c r="E69" s="27"/>
      <c r="F69" s="48">
        <f>N27</f>
        <v>0.14199999999999999</v>
      </c>
      <c r="G69" s="48"/>
      <c r="H69" s="42">
        <f>ROUND(D69*(E69+F69),2)</f>
        <v>0</v>
      </c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B70" s="38"/>
      <c r="C70" s="27"/>
      <c r="D70" s="45"/>
      <c r="E70" s="27"/>
      <c r="F70" s="27"/>
      <c r="G70" s="27"/>
      <c r="H70" s="42"/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s="1" customFormat="1" x14ac:dyDescent="0.3">
      <c r="B71" s="50"/>
      <c r="C71" s="30"/>
      <c r="D71" s="30"/>
      <c r="E71" s="30"/>
      <c r="F71" s="30"/>
      <c r="G71" s="30"/>
      <c r="H71" s="51"/>
      <c r="I71"/>
      <c r="J71"/>
      <c r="L71"/>
      <c r="M71"/>
      <c r="N71"/>
      <c r="O71"/>
      <c r="P71" s="27"/>
      <c r="Q71" s="27"/>
      <c r="R71" s="27"/>
      <c r="S71" s="27"/>
      <c r="T71" s="27"/>
      <c r="U71" s="27"/>
      <c r="V71" s="27"/>
      <c r="W71" s="27"/>
      <c r="X71" s="27"/>
      <c r="Y71" s="27"/>
    </row>
    <row r="72" spans="2:25" s="1" customFormat="1" x14ac:dyDescent="0.3">
      <c r="B72" s="52"/>
      <c r="C72" s="53"/>
      <c r="D72" s="54"/>
      <c r="E72" s="55"/>
      <c r="F72" s="53"/>
      <c r="G72" s="53"/>
      <c r="H72" s="56"/>
      <c r="I72"/>
      <c r="J72"/>
      <c r="L72"/>
      <c r="M72"/>
      <c r="N72"/>
      <c r="O72"/>
      <c r="P72" s="27"/>
      <c r="Q72" s="27"/>
      <c r="R72" s="27"/>
      <c r="S72" s="27"/>
      <c r="T72" s="27"/>
      <c r="U72" s="27"/>
      <c r="V72" s="27"/>
      <c r="W72" s="27"/>
      <c r="X72" s="27"/>
      <c r="Y72" s="27"/>
    </row>
    <row r="73" spans="2:25" s="1" customFormat="1" x14ac:dyDescent="0.3">
      <c r="B73" s="57"/>
      <c r="C73" s="58"/>
      <c r="D73" s="58"/>
      <c r="E73" s="58"/>
      <c r="F73" s="58"/>
      <c r="G73" s="58"/>
      <c r="H73" s="59"/>
      <c r="I73"/>
      <c r="J73"/>
      <c r="L73"/>
      <c r="M73"/>
      <c r="N73"/>
      <c r="O73"/>
      <c r="P73" s="27"/>
      <c r="Q73" s="27"/>
      <c r="R73" s="27"/>
      <c r="S73" s="27"/>
      <c r="T73" s="27"/>
      <c r="U73" s="27"/>
      <c r="V73" s="27"/>
      <c r="W73" s="27"/>
      <c r="X73" s="27"/>
      <c r="Y73" s="27"/>
    </row>
    <row r="74" spans="2:25" s="1" customFormat="1" x14ac:dyDescent="0.3">
      <c r="B74" s="38"/>
      <c r="C74" s="27"/>
      <c r="D74" s="23" t="s">
        <v>286</v>
      </c>
      <c r="E74" s="37"/>
      <c r="F74" s="37"/>
      <c r="G74" s="37"/>
      <c r="H74" s="60"/>
      <c r="I74"/>
      <c r="J74"/>
      <c r="K74" s="4"/>
      <c r="L74"/>
      <c r="M74"/>
      <c r="N74"/>
      <c r="O74"/>
      <c r="P74" s="27"/>
      <c r="Q74" s="27"/>
      <c r="R74" s="27"/>
      <c r="S74" s="27"/>
      <c r="T74" s="27"/>
      <c r="U74" s="27"/>
      <c r="V74" s="27"/>
      <c r="W74" s="27"/>
      <c r="X74" s="27"/>
      <c r="Y74" s="27"/>
    </row>
    <row r="75" spans="2:25" s="1" customFormat="1" x14ac:dyDescent="0.3">
      <c r="B75" s="38" t="s">
        <v>282</v>
      </c>
      <c r="C75" s="27"/>
      <c r="D75" s="62">
        <f>(H64+H66+H67+H68+H69)/(1-(E75+E76))</f>
        <v>78.517130063521819</v>
      </c>
      <c r="E75" s="215">
        <f>N37</f>
        <v>7.1000000000000004E-3</v>
      </c>
      <c r="F75" s="27"/>
      <c r="G75" s="27"/>
      <c r="H75" s="42">
        <f>D75*E75</f>
        <v>0.55747162345100498</v>
      </c>
      <c r="I75"/>
      <c r="J75"/>
      <c r="L75"/>
      <c r="M75"/>
      <c r="N75"/>
      <c r="O75"/>
      <c r="P75" s="27"/>
      <c r="Q75" s="27"/>
      <c r="R75" s="27"/>
      <c r="S75" s="27"/>
      <c r="T75" s="27"/>
      <c r="U75" s="27"/>
      <c r="V75" s="27"/>
      <c r="W75" s="27"/>
      <c r="X75" s="27"/>
      <c r="Y75" s="27"/>
    </row>
    <row r="76" spans="2:25" s="1" customFormat="1" x14ac:dyDescent="0.3">
      <c r="B76" s="38" t="s">
        <v>265</v>
      </c>
      <c r="C76" s="27"/>
      <c r="D76" s="62">
        <f>D75</f>
        <v>78.517130063521819</v>
      </c>
      <c r="E76" s="215">
        <f>N38</f>
        <v>3.2599999999999997E-2</v>
      </c>
      <c r="F76" s="27"/>
      <c r="G76" s="27"/>
      <c r="H76" s="42">
        <f>D76*E76</f>
        <v>2.5596584400708111</v>
      </c>
      <c r="I76"/>
      <c r="J76"/>
      <c r="L76"/>
      <c r="M76"/>
      <c r="N76"/>
      <c r="O76"/>
      <c r="P76" s="27"/>
      <c r="Q76" s="27"/>
      <c r="R76" s="27"/>
      <c r="S76" s="27"/>
      <c r="T76" s="27"/>
      <c r="U76" s="27"/>
      <c r="V76" s="27"/>
      <c r="W76" s="27"/>
      <c r="X76" s="27"/>
      <c r="Y76" s="27"/>
    </row>
    <row r="77" spans="2:25" s="1" customFormat="1" x14ac:dyDescent="0.3">
      <c r="B77" s="38" t="s">
        <v>283</v>
      </c>
      <c r="C77" s="27"/>
      <c r="D77" s="62">
        <f>SUM(H37:H43)</f>
        <v>0</v>
      </c>
      <c r="E77" s="249">
        <f>I37</f>
        <v>0</v>
      </c>
      <c r="F77" s="27"/>
      <c r="G77" s="27"/>
      <c r="H77" s="42">
        <f>D77*E77</f>
        <v>0</v>
      </c>
      <c r="I77"/>
      <c r="J77"/>
      <c r="L77"/>
      <c r="M77"/>
      <c r="N77"/>
      <c r="O77"/>
      <c r="P77" s="27"/>
      <c r="Q77" s="27"/>
      <c r="R77" s="27"/>
      <c r="S77" s="27"/>
      <c r="T77" s="27"/>
      <c r="U77" s="27"/>
      <c r="V77" s="27"/>
      <c r="W77" s="27"/>
      <c r="X77" s="27"/>
      <c r="Y77" s="27"/>
    </row>
    <row r="78" spans="2:25" s="1" customFormat="1" x14ac:dyDescent="0.3">
      <c r="B78" s="52"/>
      <c r="C78" s="53"/>
      <c r="D78" s="53"/>
      <c r="E78" s="53"/>
      <c r="F78" s="53"/>
      <c r="G78" s="53"/>
      <c r="H78" s="63"/>
      <c r="I78"/>
      <c r="J78"/>
      <c r="L78"/>
      <c r="M78"/>
      <c r="N78"/>
      <c r="O78"/>
      <c r="P78" s="27"/>
      <c r="Q78" s="27"/>
      <c r="R78" s="27"/>
      <c r="S78" s="27"/>
      <c r="T78" s="27"/>
      <c r="U78" s="27"/>
      <c r="V78" s="27"/>
      <c r="W78" s="27"/>
      <c r="X78" s="27"/>
      <c r="Y78" s="27"/>
    </row>
    <row r="79" spans="2:25" s="1" customFormat="1" x14ac:dyDescent="0.3">
      <c r="I79"/>
      <c r="J79"/>
      <c r="L79"/>
      <c r="M79"/>
      <c r="N79"/>
      <c r="O79"/>
      <c r="P79" s="27"/>
      <c r="Q79" s="27"/>
      <c r="R79" s="27"/>
      <c r="S79" s="27"/>
      <c r="T79" s="27"/>
      <c r="U79" s="27"/>
      <c r="V79" s="27"/>
      <c r="W79" s="27"/>
      <c r="X79" s="27"/>
      <c r="Y79" s="27"/>
    </row>
    <row r="80" spans="2:25" hidden="1" x14ac:dyDescent="0.3">
      <c r="B80" s="35" t="s">
        <v>196</v>
      </c>
      <c r="C80" s="35"/>
      <c r="D80" s="1"/>
      <c r="E80" s="1"/>
      <c r="F80" s="1"/>
      <c r="G80" s="1"/>
      <c r="H80" s="1"/>
      <c r="L80" s="25"/>
      <c r="M80" s="25"/>
      <c r="N80" s="25"/>
      <c r="O80" s="25"/>
    </row>
    <row r="81" spans="2:10" hidden="1" x14ac:dyDescent="0.3">
      <c r="B81" s="35" t="s">
        <v>197</v>
      </c>
      <c r="C81" s="35"/>
      <c r="D81" s="37"/>
      <c r="E81" s="37" t="s">
        <v>210</v>
      </c>
      <c r="F81" s="37"/>
      <c r="G81" s="37"/>
      <c r="H81" s="61"/>
    </row>
    <row r="82" spans="2:10" hidden="1" x14ac:dyDescent="0.3">
      <c r="B82" s="35" t="s">
        <v>198</v>
      </c>
      <c r="C82" s="35"/>
    </row>
    <row r="83" spans="2:10" hidden="1" x14ac:dyDescent="0.3">
      <c r="B83" s="35" t="s">
        <v>199</v>
      </c>
      <c r="C83" s="35"/>
    </row>
    <row r="84" spans="2:10" hidden="1" x14ac:dyDescent="0.3">
      <c r="B84" s="35" t="s">
        <v>200</v>
      </c>
      <c r="C84" s="35"/>
    </row>
    <row r="85" spans="2:10" hidden="1" x14ac:dyDescent="0.3">
      <c r="B85" s="35" t="s">
        <v>201</v>
      </c>
      <c r="C85" s="35"/>
    </row>
    <row r="86" spans="2:10" hidden="1" x14ac:dyDescent="0.3">
      <c r="B86" s="35" t="s">
        <v>202</v>
      </c>
      <c r="C86" s="35"/>
    </row>
    <row r="87" spans="2:10" hidden="1" x14ac:dyDescent="0.3">
      <c r="B87" s="35" t="s">
        <v>203</v>
      </c>
      <c r="C87" s="35"/>
    </row>
    <row r="88" spans="2:10" hidden="1" x14ac:dyDescent="0.3">
      <c r="B88" s="35" t="s">
        <v>204</v>
      </c>
      <c r="C88" s="35"/>
    </row>
    <row r="89" spans="2:10" hidden="1" x14ac:dyDescent="0.3">
      <c r="E89" s="142"/>
    </row>
    <row r="90" spans="2:10" x14ac:dyDescent="0.3">
      <c r="B90" s="35">
        <v>2025</v>
      </c>
      <c r="C90" s="35"/>
      <c r="D90" s="305" t="s">
        <v>190</v>
      </c>
      <c r="E90" s="35" t="s">
        <v>191</v>
      </c>
      <c r="F90" s="35" t="s">
        <v>192</v>
      </c>
      <c r="G90" s="35" t="s">
        <v>193</v>
      </c>
    </row>
    <row r="91" spans="2:10" x14ac:dyDescent="0.3">
      <c r="B91" s="35" t="s">
        <v>194</v>
      </c>
      <c r="C91" s="35"/>
      <c r="D91" s="305" t="s">
        <v>195</v>
      </c>
      <c r="E91" s="305" t="s">
        <v>195</v>
      </c>
      <c r="F91" s="305" t="s">
        <v>195</v>
      </c>
      <c r="G91" s="305" t="s">
        <v>195</v>
      </c>
    </row>
    <row r="92" spans="2:10" x14ac:dyDescent="0.3">
      <c r="B92" s="35"/>
      <c r="C92" s="35"/>
      <c r="D92" s="35"/>
      <c r="E92" s="35"/>
      <c r="F92" s="35"/>
      <c r="G92" s="35"/>
    </row>
    <row r="93" spans="2:10" x14ac:dyDescent="0.3">
      <c r="B93" s="35" t="s">
        <v>196</v>
      </c>
      <c r="C93" s="35"/>
      <c r="D93" s="71">
        <v>0.39769197799808981</v>
      </c>
      <c r="E93" s="71">
        <v>8.512776690845017E-2</v>
      </c>
      <c r="F93" s="71">
        <v>0.25265748787228293</v>
      </c>
      <c r="G93" s="71">
        <v>0.26452276722117707</v>
      </c>
    </row>
    <row r="94" spans="2:10" x14ac:dyDescent="0.3">
      <c r="B94" s="35" t="s">
        <v>197</v>
      </c>
      <c r="C94" s="35"/>
      <c r="D94" s="71">
        <v>0.51666134768573579</v>
      </c>
      <c r="E94" s="71">
        <v>0.11059369866547396</v>
      </c>
      <c r="F94" s="71">
        <v>0.32823985750000007</v>
      </c>
      <c r="G94" s="71">
        <v>4.4505096148790169E-2</v>
      </c>
    </row>
    <row r="95" spans="2:10" x14ac:dyDescent="0.3">
      <c r="B95" s="35" t="s">
        <v>198</v>
      </c>
      <c r="C95" s="35"/>
      <c r="D95" s="71">
        <v>0.39769197799808981</v>
      </c>
      <c r="E95" s="71">
        <v>8.512776690845017E-2</v>
      </c>
      <c r="F95" s="71">
        <v>0.25265748787228293</v>
      </c>
      <c r="G95" s="71">
        <v>0.26452276722117707</v>
      </c>
    </row>
    <row r="96" spans="2:10" x14ac:dyDescent="0.3">
      <c r="B96" s="35" t="s">
        <v>199</v>
      </c>
      <c r="C96" s="35"/>
      <c r="D96" s="71">
        <v>0.39769197799808981</v>
      </c>
      <c r="E96" s="71">
        <v>8.512776690845017E-2</v>
      </c>
      <c r="F96" s="71">
        <v>0.25265748787228293</v>
      </c>
      <c r="G96" s="71">
        <v>0.26452276722117707</v>
      </c>
      <c r="J96" s="30"/>
    </row>
    <row r="97" spans="2:7" x14ac:dyDescent="0.3">
      <c r="B97" s="35" t="s">
        <v>200</v>
      </c>
      <c r="C97" s="35"/>
      <c r="D97" s="71">
        <v>0.39769197799808981</v>
      </c>
      <c r="E97" s="71">
        <v>8.512776690845017E-2</v>
      </c>
      <c r="F97" s="71">
        <v>0.25265748787228293</v>
      </c>
      <c r="G97" s="71">
        <v>0.26452276722117707</v>
      </c>
    </row>
    <row r="98" spans="2:7" x14ac:dyDescent="0.3">
      <c r="B98" s="35" t="s">
        <v>201</v>
      </c>
      <c r="C98" s="35"/>
      <c r="D98" s="71">
        <v>0.39769197799808981</v>
      </c>
      <c r="E98" s="71">
        <v>8.512776690845017E-2</v>
      </c>
      <c r="F98" s="71">
        <v>0.25265748787228293</v>
      </c>
      <c r="G98" s="71">
        <v>0.26452276722117707</v>
      </c>
    </row>
    <row r="99" spans="2:7" x14ac:dyDescent="0.3">
      <c r="B99" s="35" t="s">
        <v>202</v>
      </c>
      <c r="C99" s="35"/>
      <c r="D99" s="71">
        <v>0.39769197799808981</v>
      </c>
      <c r="E99" s="71">
        <v>8.512776690845017E-2</v>
      </c>
      <c r="F99" s="71">
        <v>0.25265748787228293</v>
      </c>
      <c r="G99" s="71">
        <v>0.26452276722117707</v>
      </c>
    </row>
    <row r="100" spans="2:7" x14ac:dyDescent="0.3">
      <c r="B100" s="35" t="s">
        <v>203</v>
      </c>
      <c r="C100" s="35"/>
      <c r="D100" s="71">
        <v>0.39769197799808981</v>
      </c>
      <c r="E100" s="71">
        <v>8.512776690845017E-2</v>
      </c>
      <c r="F100" s="71">
        <v>0.25265748787228293</v>
      </c>
      <c r="G100" s="71">
        <v>0.26452276722117707</v>
      </c>
    </row>
    <row r="101" spans="2:7" x14ac:dyDescent="0.3">
      <c r="B101" s="35" t="s">
        <v>204</v>
      </c>
      <c r="C101" s="35"/>
      <c r="D101" s="71">
        <v>0.39769197799808981</v>
      </c>
      <c r="E101" s="71">
        <v>8.512776690845017E-2</v>
      </c>
      <c r="F101" s="71">
        <v>0.25265748787228293</v>
      </c>
      <c r="G101" s="71">
        <v>0.26452276722117707</v>
      </c>
    </row>
    <row r="102" spans="2:7" x14ac:dyDescent="0.3">
      <c r="B102" s="64"/>
      <c r="C102" s="64"/>
      <c r="D102" s="64"/>
      <c r="E102" s="64"/>
      <c r="F102" s="64"/>
      <c r="G102" s="64"/>
    </row>
    <row r="103" spans="2:7" x14ac:dyDescent="0.3">
      <c r="B103" s="64"/>
      <c r="C103" s="64"/>
      <c r="D103" s="64"/>
      <c r="E103" s="64"/>
      <c r="F103" s="64"/>
      <c r="G103" s="64"/>
    </row>
    <row r="104" spans="2:7" x14ac:dyDescent="0.3">
      <c r="B104" s="35">
        <v>2024</v>
      </c>
      <c r="C104" s="35"/>
      <c r="D104" s="305" t="s">
        <v>190</v>
      </c>
      <c r="E104" s="35" t="s">
        <v>191</v>
      </c>
      <c r="F104" s="35" t="s">
        <v>192</v>
      </c>
      <c r="G104" s="35" t="s">
        <v>193</v>
      </c>
    </row>
    <row r="105" spans="2:7" x14ac:dyDescent="0.3">
      <c r="B105" s="35" t="s">
        <v>194</v>
      </c>
      <c r="C105" s="35"/>
      <c r="D105" s="305" t="s">
        <v>195</v>
      </c>
      <c r="E105" s="305" t="s">
        <v>195</v>
      </c>
      <c r="F105" s="305" t="s">
        <v>195</v>
      </c>
      <c r="G105" s="305" t="s">
        <v>195</v>
      </c>
    </row>
    <row r="106" spans="2:7" x14ac:dyDescent="0.3">
      <c r="B106" s="35"/>
      <c r="C106" s="35"/>
      <c r="D106" s="35"/>
      <c r="E106" s="35"/>
      <c r="F106" s="35"/>
      <c r="G106" s="35"/>
    </row>
    <row r="107" spans="2:7" x14ac:dyDescent="0.3">
      <c r="B107" s="35" t="s">
        <v>196</v>
      </c>
      <c r="C107" s="35"/>
      <c r="D107" s="71">
        <v>0.41273682960000002</v>
      </c>
      <c r="E107" s="71">
        <v>9.8534926200000011E-2</v>
      </c>
      <c r="F107" s="71">
        <v>0.2916348184</v>
      </c>
      <c r="G107" s="71">
        <v>0.19709700829999999</v>
      </c>
    </row>
    <row r="108" spans="2:7" x14ac:dyDescent="0.3">
      <c r="B108" s="35" t="s">
        <v>197</v>
      </c>
      <c r="C108" s="35"/>
      <c r="D108" s="71">
        <v>0.49306718250000003</v>
      </c>
      <c r="E108" s="71">
        <v>0.11771263169999999</v>
      </c>
      <c r="F108" s="71">
        <v>0.34839526770000001</v>
      </c>
      <c r="G108" s="71">
        <v>4.0810691699999999E-2</v>
      </c>
    </row>
    <row r="109" spans="2:7" x14ac:dyDescent="0.3">
      <c r="B109" s="35" t="s">
        <v>198</v>
      </c>
      <c r="C109" s="35"/>
      <c r="D109" s="71">
        <v>0.41273682960000002</v>
      </c>
      <c r="E109" s="71">
        <v>9.8534926200000011E-2</v>
      </c>
      <c r="F109" s="71">
        <v>0.2916348184</v>
      </c>
      <c r="G109" s="71">
        <v>0.19709700829999999</v>
      </c>
    </row>
    <row r="110" spans="2:7" x14ac:dyDescent="0.3">
      <c r="B110" s="35" t="s">
        <v>199</v>
      </c>
      <c r="C110" s="35"/>
      <c r="D110" s="71">
        <v>0.41273682960000002</v>
      </c>
      <c r="E110" s="71">
        <v>9.8534926200000011E-2</v>
      </c>
      <c r="F110" s="71">
        <v>0.2916348184</v>
      </c>
      <c r="G110" s="71">
        <v>0.19709700829999999</v>
      </c>
    </row>
    <row r="111" spans="2:7" x14ac:dyDescent="0.3">
      <c r="B111" s="35" t="s">
        <v>200</v>
      </c>
      <c r="C111" s="35"/>
      <c r="D111" s="71">
        <v>0.41273682960000002</v>
      </c>
      <c r="E111" s="71">
        <v>9.8534926200000011E-2</v>
      </c>
      <c r="F111" s="71">
        <v>0.2916348184</v>
      </c>
      <c r="G111" s="71">
        <v>0.19709700829999999</v>
      </c>
    </row>
    <row r="112" spans="2:7" x14ac:dyDescent="0.3">
      <c r="B112" s="35" t="s">
        <v>201</v>
      </c>
      <c r="C112" s="35"/>
      <c r="D112" s="71">
        <v>0.41273682960000002</v>
      </c>
      <c r="E112" s="71">
        <v>9.8534926200000011E-2</v>
      </c>
      <c r="F112" s="71">
        <v>0.2916348184</v>
      </c>
      <c r="G112" s="71">
        <v>0.19709700829999999</v>
      </c>
    </row>
    <row r="113" spans="2:7" x14ac:dyDescent="0.3">
      <c r="B113" s="35" t="s">
        <v>202</v>
      </c>
      <c r="C113" s="35"/>
      <c r="D113" s="71">
        <v>0.41273480010000002</v>
      </c>
      <c r="E113" s="71">
        <v>9.8534441600000008E-2</v>
      </c>
      <c r="F113" s="71">
        <v>0.29163338430000002</v>
      </c>
      <c r="G113" s="71">
        <v>0.19709603919999999</v>
      </c>
    </row>
    <row r="114" spans="2:7" x14ac:dyDescent="0.3">
      <c r="B114" s="35" t="s">
        <v>203</v>
      </c>
      <c r="C114" s="35"/>
      <c r="D114" s="71">
        <v>0.41274125779999998</v>
      </c>
      <c r="E114" s="71">
        <v>9.8535983300000005E-2</v>
      </c>
      <c r="F114" s="71">
        <v>0.29163794719999997</v>
      </c>
      <c r="G114" s="71">
        <v>0.19709912289999998</v>
      </c>
    </row>
    <row r="115" spans="2:7" x14ac:dyDescent="0.3">
      <c r="B115" s="35" t="s">
        <v>204</v>
      </c>
      <c r="C115" s="35"/>
      <c r="D115" s="71">
        <v>0.41273480010000002</v>
      </c>
      <c r="E115" s="71">
        <v>9.8534441600000008E-2</v>
      </c>
      <c r="F115" s="71">
        <v>0.29163338430000002</v>
      </c>
      <c r="G115" s="71">
        <v>0.19709603919999999</v>
      </c>
    </row>
    <row r="116" spans="2:7" x14ac:dyDescent="0.3">
      <c r="B116" s="64"/>
      <c r="C116" s="64"/>
      <c r="D116" s="64"/>
      <c r="E116" s="64"/>
      <c r="F116" s="64"/>
      <c r="G116" s="64"/>
    </row>
    <row r="117" spans="2:7" x14ac:dyDescent="0.3">
      <c r="B117" s="135" t="s">
        <v>284</v>
      </c>
      <c r="C117" s="64"/>
      <c r="D117" s="64"/>
      <c r="E117" s="64"/>
      <c r="F117" s="64"/>
      <c r="G117" s="64"/>
    </row>
    <row r="118" spans="2:7" x14ac:dyDescent="0.3">
      <c r="B118" s="35"/>
      <c r="C118" s="35"/>
      <c r="D118" s="305" t="s">
        <v>190</v>
      </c>
      <c r="E118" s="35" t="s">
        <v>191</v>
      </c>
      <c r="F118" s="35" t="s">
        <v>192</v>
      </c>
      <c r="G118" s="35" t="s">
        <v>193</v>
      </c>
    </row>
    <row r="119" spans="2:7" x14ac:dyDescent="0.3">
      <c r="B119" s="35" t="s">
        <v>194</v>
      </c>
      <c r="C119" s="35"/>
      <c r="D119" s="306" t="s">
        <v>195</v>
      </c>
      <c r="E119" s="306" t="s">
        <v>195</v>
      </c>
      <c r="F119" s="306" t="s">
        <v>195</v>
      </c>
      <c r="G119" s="306" t="s">
        <v>195</v>
      </c>
    </row>
    <row r="120" spans="2:7" x14ac:dyDescent="0.3">
      <c r="B120" s="35"/>
      <c r="C120" s="35"/>
      <c r="D120" s="71"/>
      <c r="E120" s="71"/>
      <c r="F120" s="71"/>
      <c r="G120" s="71"/>
    </row>
    <row r="121" spans="2:7" x14ac:dyDescent="0.3">
      <c r="B121" s="35" t="s">
        <v>196</v>
      </c>
      <c r="C121" s="35"/>
      <c r="D121" s="71">
        <f t="shared" ref="D121:G129" si="11">((D107*$C$27)+(D93*$D$27))/($C$27+$D$27)</f>
        <v>0.39769197799808981</v>
      </c>
      <c r="E121" s="71">
        <f t="shared" si="11"/>
        <v>8.512776690845017E-2</v>
      </c>
      <c r="F121" s="71">
        <f t="shared" si="11"/>
        <v>0.25265748787228293</v>
      </c>
      <c r="G121" s="71">
        <f t="shared" si="11"/>
        <v>0.26452276722117707</v>
      </c>
    </row>
    <row r="122" spans="2:7" x14ac:dyDescent="0.3">
      <c r="B122" s="35" t="s">
        <v>197</v>
      </c>
      <c r="C122" s="35"/>
      <c r="D122" s="71">
        <f t="shared" si="11"/>
        <v>0.51666134768573579</v>
      </c>
      <c r="E122" s="71">
        <f t="shared" si="11"/>
        <v>0.11059369866547396</v>
      </c>
      <c r="F122" s="71">
        <f t="shared" si="11"/>
        <v>0.32823985750000007</v>
      </c>
      <c r="G122" s="71">
        <f t="shared" si="11"/>
        <v>4.4505096148790169E-2</v>
      </c>
    </row>
    <row r="123" spans="2:7" x14ac:dyDescent="0.3">
      <c r="B123" s="35" t="s">
        <v>198</v>
      </c>
      <c r="C123" s="35"/>
      <c r="D123" s="71">
        <f t="shared" si="11"/>
        <v>0.39769197799808981</v>
      </c>
      <c r="E123" s="71">
        <f t="shared" si="11"/>
        <v>8.512776690845017E-2</v>
      </c>
      <c r="F123" s="71">
        <f t="shared" si="11"/>
        <v>0.25265748787228293</v>
      </c>
      <c r="G123" s="71">
        <f t="shared" si="11"/>
        <v>0.26452276722117707</v>
      </c>
    </row>
    <row r="124" spans="2:7" x14ac:dyDescent="0.3">
      <c r="B124" s="35" t="s">
        <v>199</v>
      </c>
      <c r="C124" s="35"/>
      <c r="D124" s="71">
        <f t="shared" si="11"/>
        <v>0.39769197799808981</v>
      </c>
      <c r="E124" s="71">
        <f t="shared" si="11"/>
        <v>8.512776690845017E-2</v>
      </c>
      <c r="F124" s="71">
        <f t="shared" si="11"/>
        <v>0.25265748787228293</v>
      </c>
      <c r="G124" s="71">
        <f t="shared" si="11"/>
        <v>0.26452276722117707</v>
      </c>
    </row>
    <row r="125" spans="2:7" x14ac:dyDescent="0.3">
      <c r="B125" s="35" t="s">
        <v>200</v>
      </c>
      <c r="C125" s="35"/>
      <c r="D125" s="71">
        <f t="shared" si="11"/>
        <v>0.39769197799808981</v>
      </c>
      <c r="E125" s="71">
        <f t="shared" si="11"/>
        <v>8.512776690845017E-2</v>
      </c>
      <c r="F125" s="71">
        <f t="shared" si="11"/>
        <v>0.25265748787228293</v>
      </c>
      <c r="G125" s="71">
        <f t="shared" si="11"/>
        <v>0.26452276722117707</v>
      </c>
    </row>
    <row r="126" spans="2:7" x14ac:dyDescent="0.3">
      <c r="B126" s="35" t="s">
        <v>201</v>
      </c>
      <c r="C126" s="35"/>
      <c r="D126" s="71">
        <f t="shared" si="11"/>
        <v>0.39769197799808981</v>
      </c>
      <c r="E126" s="71">
        <f t="shared" si="11"/>
        <v>8.512776690845017E-2</v>
      </c>
      <c r="F126" s="71">
        <f t="shared" si="11"/>
        <v>0.25265748787228293</v>
      </c>
      <c r="G126" s="71">
        <f t="shared" si="11"/>
        <v>0.26452276722117707</v>
      </c>
    </row>
    <row r="127" spans="2:7" x14ac:dyDescent="0.3">
      <c r="B127" s="35" t="s">
        <v>202</v>
      </c>
      <c r="C127" s="35"/>
      <c r="D127" s="71">
        <f t="shared" si="11"/>
        <v>0.39769197799808981</v>
      </c>
      <c r="E127" s="71">
        <f t="shared" si="11"/>
        <v>8.512776690845017E-2</v>
      </c>
      <c r="F127" s="71">
        <f t="shared" si="11"/>
        <v>0.25265748787228293</v>
      </c>
      <c r="G127" s="71">
        <f t="shared" si="11"/>
        <v>0.26452276722117707</v>
      </c>
    </row>
    <row r="128" spans="2:7" x14ac:dyDescent="0.3">
      <c r="B128" s="35" t="s">
        <v>203</v>
      </c>
      <c r="C128" s="35"/>
      <c r="D128" s="71">
        <f t="shared" si="11"/>
        <v>0.39769197799808981</v>
      </c>
      <c r="E128" s="71">
        <f t="shared" si="11"/>
        <v>8.512776690845017E-2</v>
      </c>
      <c r="F128" s="71">
        <f t="shared" si="11"/>
        <v>0.25265748787228293</v>
      </c>
      <c r="G128" s="71">
        <f t="shared" si="11"/>
        <v>0.26452276722117707</v>
      </c>
    </row>
    <row r="129" spans="2:7" x14ac:dyDescent="0.3">
      <c r="B129" s="35" t="s">
        <v>204</v>
      </c>
      <c r="C129" s="35"/>
      <c r="D129" s="71">
        <f t="shared" si="11"/>
        <v>0.39769197799808981</v>
      </c>
      <c r="E129" s="71">
        <f t="shared" si="11"/>
        <v>8.512776690845017E-2</v>
      </c>
      <c r="F129" s="71">
        <f t="shared" si="11"/>
        <v>0.25265748787228293</v>
      </c>
      <c r="G129" s="71">
        <f t="shared" si="11"/>
        <v>0.26452276722117707</v>
      </c>
    </row>
  </sheetData>
  <mergeCells count="14">
    <mergeCell ref="B58:H58"/>
    <mergeCell ref="B4:B5"/>
    <mergeCell ref="C4:E4"/>
    <mergeCell ref="F4:H4"/>
    <mergeCell ref="I4:K4"/>
    <mergeCell ref="B11:C11"/>
    <mergeCell ref="J64:K64"/>
    <mergeCell ref="L64:M64"/>
    <mergeCell ref="J65:K65"/>
    <mergeCell ref="L65:M65"/>
    <mergeCell ref="O4:Q4"/>
    <mergeCell ref="M5:Q5"/>
    <mergeCell ref="J59:K59"/>
    <mergeCell ref="J60:K60"/>
  </mergeCells>
  <conditionalFormatting sqref="I25:J25">
    <cfRule type="cellIs" dxfId="223" priority="1" operator="equal">
      <formula>"Escassez Hídrica"</formula>
    </cfRule>
    <cfRule type="cellIs" dxfId="222" priority="2" operator="equal">
      <formula>"VERDE"</formula>
    </cfRule>
    <cfRule type="cellIs" dxfId="221" priority="3" operator="equal">
      <formula>"BVM2"</formula>
    </cfRule>
    <cfRule type="cellIs" dxfId="220" priority="4" operator="equal">
      <formula>"BVM1"</formula>
    </cfRule>
    <cfRule type="cellIs" dxfId="219" priority="5" operator="equal">
      <formula>"BAM"</formula>
    </cfRule>
  </conditionalFormatting>
  <conditionalFormatting sqref="M23">
    <cfRule type="cellIs" dxfId="218" priority="11" operator="equal">
      <formula>"VERDE"</formula>
    </cfRule>
    <cfRule type="cellIs" dxfId="217" priority="12" operator="equal">
      <formula>"BVM2"</formula>
    </cfRule>
    <cfRule type="cellIs" dxfId="216" priority="13" operator="equal">
      <formula>"BVM1"</formula>
    </cfRule>
    <cfRule type="cellIs" dxfId="215" priority="14" operator="equal">
      <formula>"BAM"</formula>
    </cfRule>
  </conditionalFormatting>
  <conditionalFormatting sqref="M27">
    <cfRule type="containsText" dxfId="214" priority="6" operator="containsText" text="Escassez Hídrica">
      <formula>NOT(ISERROR(SEARCH("Escassez Hídrica",M27)))</formula>
    </cfRule>
    <cfRule type="cellIs" dxfId="213" priority="7" operator="equal">
      <formula>"VERDE"</formula>
    </cfRule>
    <cfRule type="cellIs" dxfId="212" priority="8" operator="equal">
      <formula>"BVM2"</formula>
    </cfRule>
    <cfRule type="cellIs" dxfId="211" priority="9" operator="equal">
      <formula>"BVM1"</formula>
    </cfRule>
    <cfRule type="cellIs" dxfId="210" priority="10" operator="equal">
      <formula>"BAM"</formula>
    </cfRule>
  </conditionalFormatting>
  <dataValidations disablePrompts="1" count="2">
    <dataValidation type="list" allowBlank="1" showInputMessage="1" showErrorMessage="1" sqref="I25:J25" xr:uid="{00000000-0002-0000-0600-000000000000}">
      <formula1>$M$23:$M$27</formula1>
    </dataValidation>
    <dataValidation type="list" allowBlank="1" showInputMessage="1" showErrorMessage="1" sqref="B13" xr:uid="{00000000-0002-0000-0600-000001000000}">
      <formula1>$B$80:$B$88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rgb="FFFFFF00"/>
  </sheetPr>
  <dimension ref="A1:Y120"/>
  <sheetViews>
    <sheetView showGridLines="0" topLeftCell="A24" zoomScaleNormal="100" workbookViewId="0">
      <selection activeCell="F37" sqref="F37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287</v>
      </c>
      <c r="E2" s="421" t="s">
        <v>211</v>
      </c>
      <c r="F2" s="452">
        <f>'B1CDE '!F2</f>
        <v>46023</v>
      </c>
      <c r="G2" s="25" t="s">
        <v>210</v>
      </c>
      <c r="J2" s="25"/>
      <c r="K2" s="25"/>
    </row>
    <row r="4" spans="1:20" ht="15" customHeight="1" x14ac:dyDescent="0.3">
      <c r="B4" s="767" t="s">
        <v>212</v>
      </c>
      <c r="C4" s="769" t="s">
        <v>213</v>
      </c>
      <c r="D4" s="769"/>
      <c r="E4" s="769"/>
      <c r="F4" s="769" t="s">
        <v>214</v>
      </c>
      <c r="G4" s="769"/>
      <c r="H4" s="769"/>
      <c r="I4" s="783" t="s">
        <v>215</v>
      </c>
      <c r="J4" s="783"/>
      <c r="K4" s="783"/>
    </row>
    <row r="5" spans="1:20" x14ac:dyDescent="0.3">
      <c r="B5" s="782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</row>
    <row r="6" spans="1:20" x14ac:dyDescent="0.3">
      <c r="B6" s="102" t="s">
        <v>11</v>
      </c>
      <c r="C6" s="234">
        <v>0.39694999999999997</v>
      </c>
      <c r="D6" s="234">
        <v>0.28093000000000001</v>
      </c>
      <c r="E6" s="234">
        <f t="shared" ref="E6:E7" si="0">C6+D6</f>
        <v>0.67788000000000004</v>
      </c>
      <c r="F6" s="252">
        <v>0.45667000000000002</v>
      </c>
      <c r="G6" s="252">
        <v>0.33002999999999999</v>
      </c>
      <c r="H6" s="234">
        <f t="shared" ref="H6:H7" si="1">F6+G6</f>
        <v>0.78669999999999995</v>
      </c>
      <c r="I6" s="234">
        <f>((C6*$C$26)+(F6*$D$26))/($D$26+$C$26)</f>
        <v>0.45667000000000002</v>
      </c>
      <c r="J6" s="234">
        <f>((D6*$C$26)+(G6*$D$26))/($D$26+$C$26)</f>
        <v>0.33002999999999999</v>
      </c>
      <c r="K6" s="234">
        <f t="shared" ref="K6:K7" si="2">I6+J6</f>
        <v>0.78669999999999995</v>
      </c>
    </row>
    <row r="7" spans="1:20" x14ac:dyDescent="0.3">
      <c r="A7" s="27" t="s">
        <v>210</v>
      </c>
      <c r="B7" s="250" t="s">
        <v>216</v>
      </c>
      <c r="C7" s="235">
        <v>1.1506162773328076E-4</v>
      </c>
      <c r="D7" s="235">
        <v>-2.0731505487585774E-3</v>
      </c>
      <c r="E7" s="234">
        <f t="shared" si="0"/>
        <v>-1.9580889210252966E-3</v>
      </c>
      <c r="F7" s="252">
        <v>1.2448550414992767E-4</v>
      </c>
      <c r="G7" s="252">
        <v>-1.27319E-3</v>
      </c>
      <c r="H7" s="234">
        <f t="shared" si="1"/>
        <v>-1.1487044958500723E-3</v>
      </c>
      <c r="I7" s="234">
        <f>((C7*$C$26)+(F7*$D$26))/($D$26+$C$26)</f>
        <v>1.2448550414992767E-4</v>
      </c>
      <c r="J7" s="234">
        <f>((D7*$C$26)+(G7*$D$26))/($D$26+$C$26)</f>
        <v>-1.27319E-3</v>
      </c>
      <c r="K7" s="234">
        <f t="shared" si="2"/>
        <v>-1.1487044958500723E-3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53" t="s">
        <v>227</v>
      </c>
      <c r="K10" s="453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54" t="s">
        <v>229</v>
      </c>
      <c r="C11" s="454" t="s">
        <v>230</v>
      </c>
      <c r="F11" s="27"/>
      <c r="G11" s="27"/>
      <c r="J11" s="455">
        <f>IF(AND($B$26&lt;$F$2,$E$26&lt;$F$2),#REF!,IF($B$26&lt;$F$2,K15,J15))</f>
        <v>0.198765645709125</v>
      </c>
      <c r="K11" s="456">
        <f>D31*J11</f>
        <v>3832.2016492719299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21" t="s">
        <v>196</v>
      </c>
      <c r="C12" s="457">
        <f>J51</f>
        <v>15325.07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317" t="s">
        <v>231</v>
      </c>
      <c r="J13" s="317" t="s">
        <v>232</v>
      </c>
      <c r="K13" s="317" t="s">
        <v>233</v>
      </c>
      <c r="L13" s="27"/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58"/>
      <c r="C14" s="459" t="s">
        <v>170</v>
      </c>
      <c r="D14" s="27"/>
      <c r="E14" s="27"/>
      <c r="F14" s="27"/>
      <c r="G14" s="27"/>
      <c r="I14" s="318" t="s">
        <v>234</v>
      </c>
      <c r="J14" s="318" t="s">
        <v>234</v>
      </c>
      <c r="K14" s="318" t="s">
        <v>234</v>
      </c>
      <c r="L14" s="27"/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58" t="s">
        <v>190</v>
      </c>
      <c r="C15" s="457">
        <f>$C$12*(VLOOKUP($B$12,B112:G120,3,0))</f>
        <v>6094.6574012591864</v>
      </c>
      <c r="D15" s="27"/>
      <c r="E15" s="27"/>
      <c r="F15" s="27"/>
      <c r="G15" s="27"/>
      <c r="I15" s="319">
        <v>0.19769341067594101</v>
      </c>
      <c r="J15" s="319">
        <v>0.198765645709125</v>
      </c>
      <c r="K15" s="319">
        <f>((I15*$C$26)+(J15*$D$26))/($D$26+$C$26)</f>
        <v>0.198765645709125</v>
      </c>
      <c r="L15" s="27"/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58" t="s">
        <v>192</v>
      </c>
      <c r="C16" s="457">
        <f>$C$12*(VLOOKUP($B$12,B112:G120,5,0))</f>
        <v>3871.9936876668867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58" t="s">
        <v>191</v>
      </c>
      <c r="C17" s="457">
        <f>$C$12*(VLOOKUP($B$12,B112:G120,4,0))</f>
        <v>1304.5889868156823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58" t="s">
        <v>235</v>
      </c>
      <c r="C18" s="457">
        <f>$C$12*(VLOOKUP($B$12,B112:G120,6,0))</f>
        <v>4053.8299242582439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58" t="s">
        <v>236</v>
      </c>
      <c r="C19" s="457">
        <f>L51</f>
        <v>633.55751223575953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59" t="s">
        <v>237</v>
      </c>
      <c r="C20" s="460">
        <f>SUM(C15:C19)</f>
        <v>15958.627512235758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v>46125</v>
      </c>
      <c r="C26" s="32">
        <f>IF((F2-B26-1)&lt;0,0,(F2-B26-1))</f>
        <v>0</v>
      </c>
      <c r="D26" s="32">
        <f>E26-F2+1</f>
        <v>133</v>
      </c>
      <c r="E26" s="122">
        <v>46155</v>
      </c>
      <c r="F26" s="461">
        <f>E26</f>
        <v>46155</v>
      </c>
      <c r="G26" s="25"/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19280</v>
      </c>
      <c r="E31" s="171">
        <f>(ROUND(D31*K31,2)+ROUND(G31,2)+ROUND(J31,2))/ROUND(D31,4)</f>
        <v>0.47554927385892115</v>
      </c>
      <c r="F31" s="169">
        <f>ROUND(D31*E31,2)</f>
        <v>9168.59</v>
      </c>
      <c r="G31" s="169">
        <f>((D31*K31)/(1-$N$31-$N$32))*($N$31+$N$32)</f>
        <v>363.99304875559727</v>
      </c>
      <c r="H31" s="176">
        <v>0</v>
      </c>
      <c r="I31" s="247">
        <v>0</v>
      </c>
      <c r="J31" s="176">
        <f>H31*$I$31</f>
        <v>0</v>
      </c>
      <c r="K31" s="267">
        <f>I6</f>
        <v>0.45667000000000002</v>
      </c>
      <c r="L31" s="95" t="s">
        <v>263</v>
      </c>
      <c r="M31" s="169">
        <f>D66</f>
        <v>15958.627512235758</v>
      </c>
      <c r="N31" s="237">
        <f>'B1CDE '!N36</f>
        <v>7.1000000000000004E-3</v>
      </c>
      <c r="O31" s="178">
        <f>ROUND(M31*N31,2)</f>
        <v>113.31</v>
      </c>
    </row>
    <row r="32" spans="1:25" x14ac:dyDescent="0.3">
      <c r="B32" s="163" t="s">
        <v>289</v>
      </c>
      <c r="C32" s="164" t="s">
        <v>262</v>
      </c>
      <c r="D32" s="184">
        <f>D31</f>
        <v>19280</v>
      </c>
      <c r="E32" s="171">
        <f>(ROUND(D32*K32,2)+ROUND(G32,2)+ROUND(J32,2))/ROUND(D32,4)</f>
        <v>0.343673755186722</v>
      </c>
      <c r="F32" s="169">
        <f t="shared" ref="F32:F36" si="3">ROUND(D32*E32,2)</f>
        <v>6626.03</v>
      </c>
      <c r="G32" s="169">
        <f>((D32*K32)/(1-$N$31-$N$32))*($N$31+$N$32)</f>
        <v>263.05346504217431</v>
      </c>
      <c r="H32" s="176">
        <v>0</v>
      </c>
      <c r="I32" s="163"/>
      <c r="J32" s="176">
        <f t="shared" ref="J32:J36" si="4">H32*$I$31</f>
        <v>0</v>
      </c>
      <c r="K32" s="267">
        <f>J6</f>
        <v>0.33002999999999999</v>
      </c>
      <c r="L32" s="95" t="s">
        <v>265</v>
      </c>
      <c r="M32" s="169">
        <f>M31</f>
        <v>15958.627512235758</v>
      </c>
      <c r="N32" s="237">
        <f>'B1CDE '!N37</f>
        <v>3.2599999999999997E-2</v>
      </c>
      <c r="O32" s="178">
        <f>ROUND(M32*N32,2)</f>
        <v>520.25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8354.6666666666661</v>
      </c>
      <c r="E33" s="171">
        <f>IFERROR((ROUND(D33*K33,2)+ROUND(G33,2)+ROUND(J33,2))/ROUND(D33,4), 0)</f>
        <v>1.9629747767196986E-2</v>
      </c>
      <c r="F33" s="169">
        <f t="shared" si="3"/>
        <v>164</v>
      </c>
      <c r="G33" s="169">
        <f t="shared" ref="G33:G36" si="5">((D33*K33)/(1-$N$31-$N$32))*($N$31+$N$32)</f>
        <v>6.5106456593425657</v>
      </c>
      <c r="H33" s="176">
        <v>0</v>
      </c>
      <c r="I33" s="163"/>
      <c r="J33" s="176">
        <f t="shared" si="4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6" si="6">K34/(1-$N$31-$N$32)/(1-$I$31)</f>
        <v>4.6475059877121735E-2</v>
      </c>
      <c r="F34" s="169">
        <f t="shared" si="3"/>
        <v>0</v>
      </c>
      <c r="G34" s="169">
        <f t="shared" si="5"/>
        <v>0</v>
      </c>
      <c r="H34" s="176">
        <v>0</v>
      </c>
      <c r="I34" s="163"/>
      <c r="J34" s="176">
        <f t="shared" si="4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6"/>
        <v>8.202645006768719E-2</v>
      </c>
      <c r="F35" s="169">
        <f t="shared" si="3"/>
        <v>0</v>
      </c>
      <c r="G35" s="169">
        <f t="shared" si="5"/>
        <v>0</v>
      </c>
      <c r="H35" s="176">
        <v>0</v>
      </c>
      <c r="I35" s="163"/>
      <c r="J35" s="176">
        <f t="shared" si="4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6"/>
        <v>0.14787045714880764</v>
      </c>
      <c r="F36" s="169">
        <f t="shared" si="3"/>
        <v>0</v>
      </c>
      <c r="G36" s="169">
        <f t="shared" si="5"/>
        <v>0</v>
      </c>
      <c r="H36" s="176">
        <f t="shared" ref="H36" si="7">(D36*K36)/(1-$N$31-$N$32)/(1-$I$31)</f>
        <v>0</v>
      </c>
      <c r="I36" s="163"/>
      <c r="J36" s="176">
        <f t="shared" si="4"/>
        <v>0</v>
      </c>
      <c r="K36" s="171">
        <f>N26</f>
        <v>0.14199999999999999</v>
      </c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5">
        <v>4443.58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>
        <v>613</v>
      </c>
      <c r="G38" s="163"/>
      <c r="H38" s="163"/>
      <c r="I38" s="163"/>
      <c r="J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/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>
        <v>0</v>
      </c>
      <c r="G40" s="163"/>
      <c r="H40" s="163"/>
      <c r="I40" s="163"/>
      <c r="J40" s="163"/>
      <c r="K40" s="163"/>
      <c r="O40" s="46"/>
      <c r="R40" s="187"/>
    </row>
    <row r="41" spans="2:19" x14ac:dyDescent="0.3">
      <c r="B41" s="343" t="s">
        <v>272</v>
      </c>
      <c r="C41" s="343"/>
      <c r="D41" s="344"/>
      <c r="E41" s="343"/>
      <c r="F41" s="345">
        <v>0</v>
      </c>
      <c r="G41" s="163"/>
      <c r="H41" s="163"/>
      <c r="I41" s="163"/>
      <c r="J41" s="163"/>
      <c r="K41" s="163"/>
      <c r="O41" s="46"/>
    </row>
    <row r="42" spans="2:19" x14ac:dyDescent="0.3">
      <c r="B42" s="163"/>
      <c r="C42" s="163"/>
      <c r="D42" s="184"/>
      <c r="E42" s="163"/>
      <c r="F42" s="163">
        <v>0</v>
      </c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">
      <c r="B44" s="170" t="s">
        <v>177</v>
      </c>
      <c r="C44" s="166"/>
      <c r="D44" s="185"/>
      <c r="E44" s="166"/>
      <c r="F44" s="172">
        <f>SUM(F31:F43)</f>
        <v>21015.199999999997</v>
      </c>
      <c r="G44" s="175">
        <f>SUM(G31:G43)</f>
        <v>633.55715945711415</v>
      </c>
      <c r="H44" s="177">
        <f>SUM(H31:H43)</f>
        <v>0</v>
      </c>
      <c r="I44" s="166"/>
      <c r="J44" s="177">
        <f>SUM(J31:J43)</f>
        <v>0</v>
      </c>
      <c r="K44" s="166"/>
      <c r="L44" s="53"/>
      <c r="M44" s="53"/>
      <c r="N44" s="53"/>
      <c r="O44" s="241">
        <f>F44</f>
        <v>21015.199999999997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-22.147022679989394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761">
        <f>SUM(H54:H60)</f>
        <v>15325.07</v>
      </c>
      <c r="K51" s="762"/>
      <c r="L51" s="761">
        <f>SUM(H66:H68)</f>
        <v>633.55751223575953</v>
      </c>
      <c r="M51" s="762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15958.627512235758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123">
        <f>D31</f>
        <v>19280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15167.58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8354.6666666666661</v>
      </c>
      <c r="E57" s="27"/>
      <c r="F57" s="48">
        <f>N23</f>
        <v>1.8849999999999999E-2</v>
      </c>
      <c r="G57" s="48"/>
      <c r="H57" s="42">
        <f>ROUND(D57*(E57+F57),2)</f>
        <v>157.49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15958.627512235758</v>
      </c>
      <c r="E66" s="215">
        <f>N31</f>
        <v>7.1000000000000004E-3</v>
      </c>
      <c r="F66" s="27"/>
      <c r="G66" s="27"/>
      <c r="H66" s="42">
        <f>D66*E66</f>
        <v>113.30625533687389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15958.627512235758</v>
      </c>
      <c r="E67" s="215">
        <f>N32</f>
        <v>3.2599999999999997E-2</v>
      </c>
      <c r="F67" s="27"/>
      <c r="G67" s="27"/>
      <c r="H67" s="42">
        <f>D67*E67</f>
        <v>520.25125689888569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0</v>
      </c>
      <c r="E68" s="249">
        <f>I31</f>
        <v>0</v>
      </c>
      <c r="F68" s="27"/>
      <c r="G68" s="27"/>
      <c r="H68" s="42">
        <f>D68*E68</f>
        <v>0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5" t="s">
        <v>191</v>
      </c>
      <c r="F81" s="35" t="s">
        <v>192</v>
      </c>
      <c r="G81" s="3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5"/>
      <c r="E83" s="35"/>
      <c r="F83" s="35"/>
      <c r="G83" s="35"/>
    </row>
    <row r="84" spans="2:10" x14ac:dyDescent="0.3">
      <c r="B84" s="35" t="s">
        <v>196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">
      <c r="B85" s="35" t="s">
        <v>197</v>
      </c>
      <c r="C85" s="35"/>
      <c r="D85" s="71">
        <v>0.51666134768573579</v>
      </c>
      <c r="E85" s="71">
        <v>0.11059369866547396</v>
      </c>
      <c r="F85" s="71">
        <v>0.32823985750000007</v>
      </c>
      <c r="G85" s="71">
        <v>4.4505096148790169E-2</v>
      </c>
    </row>
    <row r="86" spans="2:10" x14ac:dyDescent="0.3">
      <c r="B86" s="35" t="s">
        <v>198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">
      <c r="B87" s="35" t="s">
        <v>199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  <c r="J87" s="30"/>
    </row>
    <row r="88" spans="2:10" x14ac:dyDescent="0.3">
      <c r="B88" s="35" t="s">
        <v>200</v>
      </c>
      <c r="C88" s="35"/>
      <c r="D88" s="71">
        <v>0.39769197799808981</v>
      </c>
      <c r="E88" s="71">
        <v>8.512776690845017E-2</v>
      </c>
      <c r="F88" s="71">
        <v>0.25265748787228293</v>
      </c>
      <c r="G88" s="71">
        <v>0.26452276722117707</v>
      </c>
    </row>
    <row r="89" spans="2:10" x14ac:dyDescent="0.3">
      <c r="B89" s="35" t="s">
        <v>201</v>
      </c>
      <c r="C89" s="35"/>
      <c r="D89" s="71">
        <v>0.39769197799808981</v>
      </c>
      <c r="E89" s="71">
        <v>8.512776690845017E-2</v>
      </c>
      <c r="F89" s="71">
        <v>0.25265748787228293</v>
      </c>
      <c r="G89" s="71">
        <v>0.26452276722117707</v>
      </c>
    </row>
    <row r="90" spans="2:10" x14ac:dyDescent="0.3">
      <c r="B90" s="35" t="s">
        <v>202</v>
      </c>
      <c r="C90" s="35"/>
      <c r="D90" s="71">
        <v>0.39769197799808981</v>
      </c>
      <c r="E90" s="71">
        <v>8.512776690845017E-2</v>
      </c>
      <c r="F90" s="71">
        <v>0.25265748787228293</v>
      </c>
      <c r="G90" s="71">
        <v>0.26452276722117707</v>
      </c>
    </row>
    <row r="91" spans="2:10" x14ac:dyDescent="0.3">
      <c r="B91" s="35" t="s">
        <v>203</v>
      </c>
      <c r="C91" s="35"/>
      <c r="D91" s="71">
        <v>0.39769197799808981</v>
      </c>
      <c r="E91" s="71">
        <v>8.512776690845017E-2</v>
      </c>
      <c r="F91" s="71">
        <v>0.25265748787228293</v>
      </c>
      <c r="G91" s="71">
        <v>0.26452276722117707</v>
      </c>
    </row>
    <row r="92" spans="2:10" x14ac:dyDescent="0.3">
      <c r="B92" s="35" t="s">
        <v>204</v>
      </c>
      <c r="C92" s="35"/>
      <c r="D92" s="71">
        <v>0.39769197799808981</v>
      </c>
      <c r="E92" s="71">
        <v>8.512776690845017E-2</v>
      </c>
      <c r="F92" s="71">
        <v>0.25265748787228293</v>
      </c>
      <c r="G92" s="71">
        <v>0.26452276722117707</v>
      </c>
    </row>
    <row r="93" spans="2:10" x14ac:dyDescent="0.3">
      <c r="B93" s="64"/>
      <c r="C93" s="64"/>
      <c r="D93" s="64"/>
      <c r="E93" s="64"/>
      <c r="F93" s="64"/>
      <c r="G93" s="64"/>
    </row>
    <row r="94" spans="2:10" x14ac:dyDescent="0.3">
      <c r="B94" s="64"/>
      <c r="C94" s="64"/>
      <c r="D94" s="64"/>
      <c r="E94" s="64"/>
      <c r="F94" s="64"/>
      <c r="G94" s="64"/>
    </row>
    <row r="95" spans="2:10" x14ac:dyDescent="0.3">
      <c r="B95" s="35">
        <v>2024</v>
      </c>
      <c r="C95" s="35"/>
      <c r="D95" s="305" t="s">
        <v>190</v>
      </c>
      <c r="E95" s="35" t="s">
        <v>191</v>
      </c>
      <c r="F95" s="35" t="s">
        <v>192</v>
      </c>
      <c r="G95" s="35" t="s">
        <v>193</v>
      </c>
    </row>
    <row r="96" spans="2:10" x14ac:dyDescent="0.3">
      <c r="B96" s="35" t="s">
        <v>194</v>
      </c>
      <c r="C96" s="35"/>
      <c r="D96" s="305" t="s">
        <v>195</v>
      </c>
      <c r="E96" s="305" t="s">
        <v>195</v>
      </c>
      <c r="F96" s="305" t="s">
        <v>195</v>
      </c>
      <c r="G96" s="305" t="s">
        <v>195</v>
      </c>
    </row>
    <row r="97" spans="2:7" x14ac:dyDescent="0.3">
      <c r="B97" s="35"/>
      <c r="C97" s="35"/>
      <c r="D97" s="35"/>
      <c r="E97" s="35"/>
      <c r="F97" s="35"/>
      <c r="G97" s="35"/>
    </row>
    <row r="98" spans="2:7" x14ac:dyDescent="0.3">
      <c r="B98" s="35" t="s">
        <v>196</v>
      </c>
      <c r="C98" s="35"/>
      <c r="D98" s="71">
        <v>0.41273682960000002</v>
      </c>
      <c r="E98" s="71">
        <v>9.8534926200000011E-2</v>
      </c>
      <c r="F98" s="71">
        <v>0.2916348184</v>
      </c>
      <c r="G98" s="71">
        <v>0.19709700829999999</v>
      </c>
    </row>
    <row r="99" spans="2:7" x14ac:dyDescent="0.3">
      <c r="B99" s="35" t="s">
        <v>197</v>
      </c>
      <c r="C99" s="35"/>
      <c r="D99" s="71">
        <v>0.49306718250000003</v>
      </c>
      <c r="E99" s="71">
        <v>0.11771263169999999</v>
      </c>
      <c r="F99" s="71">
        <v>0.34839526770000001</v>
      </c>
      <c r="G99" s="71">
        <v>4.0810691699999999E-2</v>
      </c>
    </row>
    <row r="100" spans="2:7" x14ac:dyDescent="0.3">
      <c r="B100" s="35" t="s">
        <v>198</v>
      </c>
      <c r="C100" s="35"/>
      <c r="D100" s="71">
        <v>0.41273682960000002</v>
      </c>
      <c r="E100" s="71">
        <v>9.8534926200000011E-2</v>
      </c>
      <c r="F100" s="71">
        <v>0.2916348184</v>
      </c>
      <c r="G100" s="71">
        <v>0.19709700829999999</v>
      </c>
    </row>
    <row r="101" spans="2:7" x14ac:dyDescent="0.3">
      <c r="B101" s="35" t="s">
        <v>199</v>
      </c>
      <c r="C101" s="35"/>
      <c r="D101" s="71">
        <v>0.41273682960000002</v>
      </c>
      <c r="E101" s="71">
        <v>9.8534926200000011E-2</v>
      </c>
      <c r="F101" s="71">
        <v>0.2916348184</v>
      </c>
      <c r="G101" s="71">
        <v>0.19709700829999999</v>
      </c>
    </row>
    <row r="102" spans="2:7" x14ac:dyDescent="0.3">
      <c r="B102" s="35" t="s">
        <v>200</v>
      </c>
      <c r="C102" s="35"/>
      <c r="D102" s="71">
        <v>0.41273682960000002</v>
      </c>
      <c r="E102" s="71">
        <v>9.8534926200000011E-2</v>
      </c>
      <c r="F102" s="71">
        <v>0.2916348184</v>
      </c>
      <c r="G102" s="71">
        <v>0.19709700829999999</v>
      </c>
    </row>
    <row r="103" spans="2:7" x14ac:dyDescent="0.3">
      <c r="B103" s="35" t="s">
        <v>201</v>
      </c>
      <c r="C103" s="35"/>
      <c r="D103" s="71">
        <v>0.41273682960000002</v>
      </c>
      <c r="E103" s="71">
        <v>9.8534926200000011E-2</v>
      </c>
      <c r="F103" s="71">
        <v>0.2916348184</v>
      </c>
      <c r="G103" s="71">
        <v>0.19709700829999999</v>
      </c>
    </row>
    <row r="104" spans="2:7" x14ac:dyDescent="0.3">
      <c r="B104" s="35" t="s">
        <v>202</v>
      </c>
      <c r="C104" s="35"/>
      <c r="D104" s="71">
        <v>0.41273480010000002</v>
      </c>
      <c r="E104" s="71">
        <v>9.8534441600000008E-2</v>
      </c>
      <c r="F104" s="71">
        <v>0.29163338430000002</v>
      </c>
      <c r="G104" s="71">
        <v>0.19709603919999999</v>
      </c>
    </row>
    <row r="105" spans="2:7" x14ac:dyDescent="0.3">
      <c r="B105" s="35" t="s">
        <v>203</v>
      </c>
      <c r="C105" s="35"/>
      <c r="D105" s="71">
        <v>0.41274125779999998</v>
      </c>
      <c r="E105" s="71">
        <v>9.8535983300000005E-2</v>
      </c>
      <c r="F105" s="71">
        <v>0.29163794719999997</v>
      </c>
      <c r="G105" s="71">
        <v>0.19709912289999998</v>
      </c>
    </row>
    <row r="106" spans="2:7" x14ac:dyDescent="0.3">
      <c r="B106" s="35" t="s">
        <v>204</v>
      </c>
      <c r="C106" s="35"/>
      <c r="D106" s="71">
        <v>0.41273480010000002</v>
      </c>
      <c r="E106" s="71">
        <v>9.8534441600000008E-2</v>
      </c>
      <c r="F106" s="71">
        <v>0.29163338430000002</v>
      </c>
      <c r="G106" s="71">
        <v>0.19709603919999999</v>
      </c>
    </row>
    <row r="107" spans="2:7" x14ac:dyDescent="0.3">
      <c r="B107" s="64"/>
      <c r="C107" s="64"/>
      <c r="D107" s="64"/>
      <c r="E107" s="64"/>
      <c r="F107" s="64"/>
      <c r="G107" s="64"/>
    </row>
    <row r="108" spans="2:7" x14ac:dyDescent="0.3">
      <c r="B108" s="135" t="s">
        <v>284</v>
      </c>
      <c r="C108" s="64"/>
      <c r="D108" s="64"/>
      <c r="E108" s="64"/>
      <c r="F108" s="64"/>
      <c r="G108" s="64"/>
    </row>
    <row r="109" spans="2:7" x14ac:dyDescent="0.3">
      <c r="B109" s="35"/>
      <c r="C109" s="35"/>
      <c r="D109" s="305" t="s">
        <v>190</v>
      </c>
      <c r="E109" s="35" t="s">
        <v>191</v>
      </c>
      <c r="F109" s="35" t="s">
        <v>192</v>
      </c>
      <c r="G109" s="3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71"/>
      <c r="E111" s="71"/>
      <c r="F111" s="71"/>
      <c r="G111" s="71"/>
    </row>
    <row r="112" spans="2:7" x14ac:dyDescent="0.3">
      <c r="B112" s="35" t="s">
        <v>196</v>
      </c>
      <c r="C112" s="35"/>
      <c r="D112" s="71">
        <f t="shared" ref="D112:G120" si="8">((D98*$C$26)+(D84*$D$26))/($C$26+$D$26)</f>
        <v>0.39769197799808981</v>
      </c>
      <c r="E112" s="71">
        <f t="shared" si="8"/>
        <v>8.512776690845017E-2</v>
      </c>
      <c r="F112" s="71">
        <f t="shared" si="8"/>
        <v>0.25265748787228293</v>
      </c>
      <c r="G112" s="71">
        <f t="shared" si="8"/>
        <v>0.26452276722117707</v>
      </c>
    </row>
    <row r="113" spans="2:7" x14ac:dyDescent="0.3">
      <c r="B113" s="35" t="s">
        <v>197</v>
      </c>
      <c r="C113" s="35"/>
      <c r="D113" s="71">
        <f t="shared" si="8"/>
        <v>0.51666134768573579</v>
      </c>
      <c r="E113" s="71">
        <f t="shared" si="8"/>
        <v>0.11059369866547396</v>
      </c>
      <c r="F113" s="71">
        <f t="shared" si="8"/>
        <v>0.32823985750000007</v>
      </c>
      <c r="G113" s="71">
        <f t="shared" si="8"/>
        <v>4.4505096148790169E-2</v>
      </c>
    </row>
    <row r="114" spans="2:7" x14ac:dyDescent="0.3">
      <c r="B114" s="35" t="s">
        <v>198</v>
      </c>
      <c r="C114" s="35"/>
      <c r="D114" s="71">
        <f t="shared" si="8"/>
        <v>0.39769197799808981</v>
      </c>
      <c r="E114" s="71">
        <f t="shared" si="8"/>
        <v>8.512776690845017E-2</v>
      </c>
      <c r="F114" s="71">
        <f t="shared" si="8"/>
        <v>0.25265748787228293</v>
      </c>
      <c r="G114" s="71">
        <f t="shared" si="8"/>
        <v>0.26452276722117707</v>
      </c>
    </row>
    <row r="115" spans="2:7" x14ac:dyDescent="0.3">
      <c r="B115" s="35" t="s">
        <v>199</v>
      </c>
      <c r="C115" s="35"/>
      <c r="D115" s="71">
        <f t="shared" si="8"/>
        <v>0.39769197799808981</v>
      </c>
      <c r="E115" s="71">
        <f t="shared" si="8"/>
        <v>8.512776690845017E-2</v>
      </c>
      <c r="F115" s="71">
        <f t="shared" si="8"/>
        <v>0.25265748787228293</v>
      </c>
      <c r="G115" s="71">
        <f t="shared" si="8"/>
        <v>0.26452276722117707</v>
      </c>
    </row>
    <row r="116" spans="2:7" x14ac:dyDescent="0.3">
      <c r="B116" s="35" t="s">
        <v>200</v>
      </c>
      <c r="C116" s="35"/>
      <c r="D116" s="71">
        <f t="shared" si="8"/>
        <v>0.39769197799808981</v>
      </c>
      <c r="E116" s="71">
        <f t="shared" si="8"/>
        <v>8.512776690845017E-2</v>
      </c>
      <c r="F116" s="71">
        <f t="shared" si="8"/>
        <v>0.25265748787228293</v>
      </c>
      <c r="G116" s="71">
        <f t="shared" si="8"/>
        <v>0.26452276722117707</v>
      </c>
    </row>
    <row r="117" spans="2:7" x14ac:dyDescent="0.3">
      <c r="B117" s="35" t="s">
        <v>201</v>
      </c>
      <c r="C117" s="35"/>
      <c r="D117" s="71">
        <f t="shared" si="8"/>
        <v>0.39769197799808981</v>
      </c>
      <c r="E117" s="71">
        <f t="shared" si="8"/>
        <v>8.512776690845017E-2</v>
      </c>
      <c r="F117" s="71">
        <f t="shared" si="8"/>
        <v>0.25265748787228293</v>
      </c>
      <c r="G117" s="71">
        <f t="shared" si="8"/>
        <v>0.26452276722117707</v>
      </c>
    </row>
    <row r="118" spans="2:7" x14ac:dyDescent="0.3">
      <c r="B118" s="35" t="s">
        <v>202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">
      <c r="B119" s="35" t="s">
        <v>203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  <row r="120" spans="2:7" x14ac:dyDescent="0.3">
      <c r="B120" s="35" t="s">
        <v>204</v>
      </c>
      <c r="C120" s="35"/>
      <c r="D120" s="71">
        <f t="shared" si="8"/>
        <v>0.39769197799808981</v>
      </c>
      <c r="E120" s="71">
        <f t="shared" si="8"/>
        <v>8.512776690845017E-2</v>
      </c>
      <c r="F120" s="71">
        <f t="shared" si="8"/>
        <v>0.25265748787228293</v>
      </c>
      <c r="G120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209" priority="1" operator="equal">
      <formula>"Escassez Hídrica"</formula>
    </cfRule>
    <cfRule type="cellIs" dxfId="208" priority="2" operator="equal">
      <formula>"VERDE"</formula>
    </cfRule>
    <cfRule type="cellIs" dxfId="207" priority="3" operator="equal">
      <formula>"BVM2"</formula>
    </cfRule>
    <cfRule type="cellIs" dxfId="206" priority="4" operator="equal">
      <formula>"BVM1"</formula>
    </cfRule>
    <cfRule type="cellIs" dxfId="205" priority="5" operator="equal">
      <formula>"BAM"</formula>
    </cfRule>
  </conditionalFormatting>
  <conditionalFormatting sqref="M22">
    <cfRule type="cellIs" dxfId="204" priority="11" operator="equal">
      <formula>"VERDE"</formula>
    </cfRule>
    <cfRule type="cellIs" dxfId="203" priority="12" operator="equal">
      <formula>"BVM2"</formula>
    </cfRule>
    <cfRule type="cellIs" dxfId="202" priority="13" operator="equal">
      <formula>"BVM1"</formula>
    </cfRule>
    <cfRule type="cellIs" dxfId="201" priority="14" operator="equal">
      <formula>"BAM"</formula>
    </cfRule>
  </conditionalFormatting>
  <conditionalFormatting sqref="M26">
    <cfRule type="containsText" dxfId="200" priority="6" operator="containsText" text="Escassez Hídrica">
      <formula>NOT(ISERROR(SEARCH("Escassez Hídrica",M26)))</formula>
    </cfRule>
    <cfRule type="cellIs" dxfId="199" priority="7" operator="equal">
      <formula>"VERDE"</formula>
    </cfRule>
    <cfRule type="cellIs" dxfId="198" priority="8" operator="equal">
      <formula>"BVM2"</formula>
    </cfRule>
    <cfRule type="cellIs" dxfId="197" priority="9" operator="equal">
      <formula>"BVM1"</formula>
    </cfRule>
    <cfRule type="cellIs" dxfId="196" priority="10" operator="equal">
      <formula>"BAM"</formula>
    </cfRule>
  </conditionalFormatting>
  <dataValidations count="2">
    <dataValidation type="list" allowBlank="1" showInputMessage="1" showErrorMessage="1" sqref="B12" xr:uid="{00000000-0002-0000-0700-000000000000}">
      <formula1>$B$71:$B$79</formula1>
    </dataValidation>
    <dataValidation type="list" allowBlank="1" showInputMessage="1" showErrorMessage="1" sqref="I24:J24" xr:uid="{00000000-0002-0000-07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FF00"/>
  </sheetPr>
  <dimension ref="A1:Y120"/>
  <sheetViews>
    <sheetView showGridLines="0" topLeftCell="A33" zoomScaleNormal="100" workbookViewId="0">
      <selection activeCell="F41" sqref="F41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5.77734375" style="27" customWidth="1"/>
    <col min="6" max="6" width="12.21875" style="27" bestFit="1" customWidth="1"/>
    <col min="7" max="8" width="11.77734375" style="27" customWidth="1"/>
    <col min="9" max="9" width="16.44140625" style="27" customWidth="1"/>
    <col min="10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287</v>
      </c>
      <c r="E2" s="421" t="s">
        <v>211</v>
      </c>
      <c r="F2" s="452">
        <f>'B1CDE '!F2</f>
        <v>46023</v>
      </c>
      <c r="G2" s="25" t="s">
        <v>210</v>
      </c>
      <c r="J2" s="25"/>
      <c r="K2" s="25"/>
    </row>
    <row r="4" spans="1:20" ht="15" customHeight="1" x14ac:dyDescent="0.3">
      <c r="B4" s="767" t="s">
        <v>212</v>
      </c>
      <c r="C4" s="769" t="s">
        <v>213</v>
      </c>
      <c r="D4" s="769"/>
      <c r="E4" s="769"/>
      <c r="F4" s="769" t="s">
        <v>214</v>
      </c>
      <c r="G4" s="769"/>
      <c r="H4" s="769"/>
      <c r="I4" s="783" t="s">
        <v>215</v>
      </c>
      <c r="J4" s="783"/>
      <c r="K4" s="783"/>
    </row>
    <row r="5" spans="1:20" x14ac:dyDescent="0.3">
      <c r="B5" s="782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</row>
    <row r="6" spans="1:20" x14ac:dyDescent="0.3">
      <c r="B6" s="102" t="s">
        <v>11</v>
      </c>
      <c r="C6" s="424">
        <v>0.39694999999999997</v>
      </c>
      <c r="D6" s="424">
        <v>0.28093000000000001</v>
      </c>
      <c r="E6" s="424">
        <f t="shared" ref="E6:E7" si="0">C6+D6</f>
        <v>0.67788000000000004</v>
      </c>
      <c r="F6" s="425">
        <v>0.45667000000000002</v>
      </c>
      <c r="G6" s="425">
        <v>0.33002999999999999</v>
      </c>
      <c r="H6" s="424">
        <f t="shared" ref="H6:H7" si="1">F6+G6</f>
        <v>0.78669999999999995</v>
      </c>
      <c r="I6" s="424">
        <f>((C6*$C$26)+(F6*$D$26))/($D$26+$C$26)</f>
        <v>0.45667000000000002</v>
      </c>
      <c r="J6" s="424">
        <f>((D6*$C$26)+(G6*$D$26))/($D$26+$C$26)</f>
        <v>0.33002999999999999</v>
      </c>
      <c r="K6" s="424">
        <f t="shared" ref="K6" si="2">I6+J6</f>
        <v>0.78669999999999995</v>
      </c>
    </row>
    <row r="7" spans="1:20" x14ac:dyDescent="0.3">
      <c r="A7" s="27" t="s">
        <v>210</v>
      </c>
      <c r="B7" s="250" t="s">
        <v>216</v>
      </c>
      <c r="C7" s="426">
        <v>1.1506162773328076E-4</v>
      </c>
      <c r="D7" s="426">
        <v>-2.0731505487585774E-3</v>
      </c>
      <c r="E7" s="424">
        <f t="shared" si="0"/>
        <v>-1.9580889210252966E-3</v>
      </c>
      <c r="F7" s="534">
        <v>1.2448550414992767E-4</v>
      </c>
      <c r="G7" s="534">
        <v>-1.27319E-3</v>
      </c>
      <c r="H7" s="424">
        <f t="shared" si="1"/>
        <v>-1.1487044958500723E-3</v>
      </c>
      <c r="I7" s="427">
        <f>((C7*$C$26)+(F7*$D$26))/($D$26+$C$26)</f>
        <v>1.2448550414992767E-4</v>
      </c>
      <c r="J7" s="428">
        <f>((D7*$C$26)+(G7*$D$26))/($D$26+$C$26)</f>
        <v>-1.27319E-3</v>
      </c>
      <c r="K7" s="424">
        <f t="shared" ref="K7" si="3">I7+J7</f>
        <v>-1.1487044958500723E-3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53" t="s">
        <v>227</v>
      </c>
      <c r="K10" s="453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54" t="s">
        <v>229</v>
      </c>
      <c r="C11" s="454" t="s">
        <v>230</v>
      </c>
      <c r="F11" s="27"/>
      <c r="G11" s="27"/>
      <c r="J11" s="455">
        <f>K15</f>
        <v>0.198765645709125</v>
      </c>
      <c r="K11" s="456">
        <f>D31*J11</f>
        <v>19.280267633785126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21" t="s">
        <v>196</v>
      </c>
      <c r="C12" s="457">
        <f>J51</f>
        <v>77.16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317" t="s">
        <v>231</v>
      </c>
      <c r="J13" s="317" t="s">
        <v>232</v>
      </c>
      <c r="K13" s="317" t="s">
        <v>233</v>
      </c>
      <c r="L13" s="27"/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58"/>
      <c r="C14" s="459" t="s">
        <v>170</v>
      </c>
      <c r="D14" s="27"/>
      <c r="E14" s="27"/>
      <c r="F14" s="27"/>
      <c r="G14" s="27"/>
      <c r="I14" s="318" t="s">
        <v>234</v>
      </c>
      <c r="J14" s="318" t="s">
        <v>234</v>
      </c>
      <c r="K14" s="318" t="s">
        <v>234</v>
      </c>
      <c r="L14" s="27"/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58" t="s">
        <v>190</v>
      </c>
      <c r="C15" s="457">
        <f>$C$12*(VLOOKUP($B$12,B112:G120,3,0))</f>
        <v>30.68591302233261</v>
      </c>
      <c r="D15" s="27"/>
      <c r="E15" s="27"/>
      <c r="F15" s="27"/>
      <c r="G15" s="27"/>
      <c r="I15" s="319">
        <v>0.19769341067594101</v>
      </c>
      <c r="J15" s="319">
        <v>0.198765645709125</v>
      </c>
      <c r="K15" s="319">
        <f>((I15*$C$26)+(J15*$D$26))/($D$26+$C$26)</f>
        <v>0.198765645709125</v>
      </c>
      <c r="L15" s="27"/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58" t="s">
        <v>192</v>
      </c>
      <c r="C16" s="457">
        <f>$C$12*(VLOOKUP($B$12,B112:G120,5,0))</f>
        <v>19.495051764225348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58" t="s">
        <v>191</v>
      </c>
      <c r="C17" s="457">
        <f>$C$12*(VLOOKUP($B$12,B112:G120,4,0))</f>
        <v>6.5684584946560145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58" t="s">
        <v>235</v>
      </c>
      <c r="C18" s="457">
        <f>$C$12*(VLOOKUP($B$12,B112:G120,6,0))</f>
        <v>20.410576718786022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58" t="s">
        <v>236</v>
      </c>
      <c r="C19" s="457">
        <f>L51</f>
        <v>14.147145019898854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59" t="s">
        <v>237</v>
      </c>
      <c r="C20" s="460">
        <f>SUM(C15:C19)</f>
        <v>91.307145019898854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435</v>
      </c>
      <c r="D25" s="22" t="s">
        <v>436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v>46126</v>
      </c>
      <c r="C26" s="32">
        <f>IF((F2-B26-1)&lt;0,0,(F2-B26-1))</f>
        <v>0</v>
      </c>
      <c r="D26" s="32">
        <f>E26-F2+1</f>
        <v>134</v>
      </c>
      <c r="E26" s="122">
        <v>46156</v>
      </c>
      <c r="F26" s="461">
        <f>E26</f>
        <v>46156</v>
      </c>
      <c r="G26" s="25"/>
      <c r="H26" s="33">
        <f>B26</f>
        <v>46126</v>
      </c>
      <c r="I26" s="34">
        <f>IF((H24-H26-1)&lt;0,0,(H24-H26-1))</f>
        <v>16</v>
      </c>
      <c r="J26" s="34">
        <f>K26-H24+1</f>
        <v>14</v>
      </c>
      <c r="K26" s="33">
        <f>E26</f>
        <v>46156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97</v>
      </c>
      <c r="E31" s="171">
        <f>(ROUND(D31*K31,2)+ROUND(G31,2)+ROUND(J31,2))/ROUND(D31,4)</f>
        <v>0.54041237113402052</v>
      </c>
      <c r="F31" s="169">
        <f t="shared" ref="F31" si="4">ROUND(D31*E31,2)</f>
        <v>52.42</v>
      </c>
      <c r="G31" s="169">
        <f>((D31*K31)/(1-$N$31-$N$32))*($N$31+$N$32)</f>
        <v>1.8312928282828282</v>
      </c>
      <c r="H31" s="176">
        <f>ROUND((D31*K31)/(1-$N$31-$N$32)/(1-$I$31),8)</f>
        <v>52.418503209999997</v>
      </c>
      <c r="I31" s="247">
        <v>0.12</v>
      </c>
      <c r="J31" s="176">
        <f t="shared" ref="J31:J35" si="5">H31*$I$31</f>
        <v>6.2902203851999996</v>
      </c>
      <c r="K31" s="267">
        <f>I6</f>
        <v>0.45667000000000002</v>
      </c>
      <c r="L31" s="95" t="s">
        <v>263</v>
      </c>
      <c r="M31" s="169">
        <f>D66</f>
        <v>80.349890659169006</v>
      </c>
      <c r="N31" s="237">
        <f>'B1C ICMS'!N31</f>
        <v>7.1000000000000004E-3</v>
      </c>
      <c r="O31" s="178">
        <f>ROUND(M31*N31,2)</f>
        <v>0.56999999999999995</v>
      </c>
    </row>
    <row r="32" spans="1:25" x14ac:dyDescent="0.3">
      <c r="B32" s="163" t="s">
        <v>289</v>
      </c>
      <c r="C32" s="164" t="s">
        <v>262</v>
      </c>
      <c r="D32" s="184">
        <f>D31</f>
        <v>97</v>
      </c>
      <c r="E32" s="171">
        <f>(ROUND(D32*K32,2)+ROUND(G32,2)+ROUND(J32,2))/ROUND(D32,4)</f>
        <v>0.39051546391752573</v>
      </c>
      <c r="F32" s="169">
        <f t="shared" ref="F32:F35" si="6">ROUND(D32*E32,2)</f>
        <v>37.880000000000003</v>
      </c>
      <c r="G32" s="169">
        <f>((D32*K32)/(1-$N$31-$N$32))*($N$31+$N$32)</f>
        <v>1.3234536363636362</v>
      </c>
      <c r="H32" s="176">
        <f>ROUND((D32*K32)/(1-$N$31-$N$32)/(1-$I$31),8)</f>
        <v>37.882231400000002</v>
      </c>
      <c r="I32" s="163"/>
      <c r="J32" s="176">
        <f t="shared" si="5"/>
        <v>4.5458677679999999</v>
      </c>
      <c r="K32" s="267">
        <f>J6</f>
        <v>0.33002999999999999</v>
      </c>
      <c r="L32" s="95" t="s">
        <v>265</v>
      </c>
      <c r="M32" s="169">
        <f>M31</f>
        <v>80.349890659169006</v>
      </c>
      <c r="N32" s="237">
        <f>'B1C ICMS'!N32</f>
        <v>3.2599999999999997E-2</v>
      </c>
      <c r="O32" s="178">
        <f>ROUND(M32*N32,2)</f>
        <v>2.62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45.266666666666666</v>
      </c>
      <c r="E33" s="171">
        <f>IFERROR((ROUND(D33*K33,2)+ROUND(G33,2)+ROUND(J33,2))/ROUND(D33,4), 0)</f>
        <v>2.2312207428418683E-2</v>
      </c>
      <c r="F33" s="169">
        <f t="shared" si="6"/>
        <v>1.01</v>
      </c>
      <c r="G33" s="169">
        <f t="shared" ref="G33:G35" si="7">((D33*K33)/(1-$N$31-$N$32))*($N$31+$N$32)</f>
        <v>3.5275521885521882E-2</v>
      </c>
      <c r="H33" s="176">
        <f t="shared" ref="H33:H35" si="8">(D33*K33)/(1-$N$31-$N$32)/(1-$I$31)</f>
        <v>1.0097183960820324</v>
      </c>
      <c r="I33" s="163"/>
      <c r="J33" s="176">
        <f t="shared" si="5"/>
        <v>0.12116620752984389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5" si="9">K34/(1-$N$31-$N$32)/(1-$I$31)</f>
        <v>5.2812568042183788E-2</v>
      </c>
      <c r="F34" s="169">
        <f t="shared" si="6"/>
        <v>0</v>
      </c>
      <c r="G34" s="169">
        <f t="shared" si="7"/>
        <v>0</v>
      </c>
      <c r="H34" s="176">
        <f t="shared" si="8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9"/>
        <v>9.3211875076917264E-2</v>
      </c>
      <c r="F35" s="169">
        <f t="shared" si="6"/>
        <v>0</v>
      </c>
      <c r="G35" s="169">
        <f t="shared" si="7"/>
        <v>0</v>
      </c>
      <c r="H35" s="176">
        <f t="shared" si="8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/>
      <c r="C36" s="164"/>
      <c r="D36" s="184"/>
      <c r="E36" s="171"/>
      <c r="F36" s="169"/>
      <c r="G36" s="169"/>
      <c r="H36" s="176"/>
      <c r="I36" s="163"/>
      <c r="J36" s="176"/>
      <c r="K36" s="171"/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5">
        <v>1.81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>
        <v>0.09</v>
      </c>
      <c r="G38" s="163"/>
      <c r="H38" s="163"/>
      <c r="I38" s="163"/>
      <c r="J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>
        <v>6.5</v>
      </c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/>
      <c r="G40" s="163"/>
      <c r="H40" s="163"/>
      <c r="I40" s="163"/>
      <c r="J40" s="163"/>
      <c r="K40" s="163"/>
      <c r="O40" s="46"/>
      <c r="R40" s="187"/>
    </row>
    <row r="41" spans="2:19" x14ac:dyDescent="0.3">
      <c r="B41" s="163" t="s">
        <v>272</v>
      </c>
      <c r="C41" s="163"/>
      <c r="D41" s="184"/>
      <c r="E41" s="163"/>
      <c r="F41" s="229"/>
      <c r="G41" s="163"/>
      <c r="H41" s="163"/>
      <c r="I41" s="163"/>
      <c r="J41" s="163"/>
      <c r="K41" s="163"/>
      <c r="O41" s="46"/>
    </row>
    <row r="42" spans="2:19" x14ac:dyDescent="0.3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ht="15.6" x14ac:dyDescent="0.3">
      <c r="B44" s="170" t="s">
        <v>177</v>
      </c>
      <c r="C44" s="166"/>
      <c r="D44" s="185"/>
      <c r="E44" s="166"/>
      <c r="F44" s="172">
        <f>SUM(F31:F43)</f>
        <v>99.710000000000022</v>
      </c>
      <c r="G44" s="175">
        <f>SUM(G31:G43)</f>
        <v>3.1900219865319865</v>
      </c>
      <c r="H44" s="177">
        <f>SUM(H31:H43)</f>
        <v>91.310453006082042</v>
      </c>
      <c r="I44" s="166"/>
      <c r="J44" s="177">
        <f>SUM(J31:J43)</f>
        <v>10.957254360729843</v>
      </c>
      <c r="K44" s="166"/>
      <c r="L44" s="53"/>
      <c r="M44" s="53"/>
      <c r="N44" s="53"/>
      <c r="O44" s="248">
        <f>F44</f>
        <v>99.710000000000022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-0.11142433609745701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761">
        <f>SUM(H54:H60)</f>
        <v>77.16</v>
      </c>
      <c r="K51" s="762"/>
      <c r="L51" s="761">
        <f>SUM(H66:H68)</f>
        <v>14.147145019898854</v>
      </c>
      <c r="M51" s="762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91.307145019898854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123">
        <f>D31</f>
        <v>97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76.31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45.266666666666666</v>
      </c>
      <c r="E57" s="27"/>
      <c r="F57" s="48">
        <f>N23</f>
        <v>1.8849999999999999E-2</v>
      </c>
      <c r="G57" s="48"/>
      <c r="H57" s="42">
        <f>ROUND(D57*(E57+F57),2)</f>
        <v>0.85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80.349890659169006</v>
      </c>
      <c r="E66" s="215">
        <f>N31</f>
        <v>7.1000000000000004E-3</v>
      </c>
      <c r="F66" s="27"/>
      <c r="G66" s="27"/>
      <c r="H66" s="42">
        <f>D66*E66</f>
        <v>0.57048422368009999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80.349890659169006</v>
      </c>
      <c r="E67" s="215">
        <f>N32</f>
        <v>3.2599999999999997E-2</v>
      </c>
      <c r="F67" s="27"/>
      <c r="G67" s="27"/>
      <c r="H67" s="42">
        <f>D67*E67</f>
        <v>2.6194064354889095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91.310453006082042</v>
      </c>
      <c r="E68" s="249">
        <f>I31</f>
        <v>0.12</v>
      </c>
      <c r="F68" s="27"/>
      <c r="G68" s="27"/>
      <c r="H68" s="42">
        <f>D68*E68</f>
        <v>10.957254360729845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05" t="s">
        <v>191</v>
      </c>
      <c r="F81" s="305" t="s">
        <v>192</v>
      </c>
      <c r="G81" s="30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5"/>
      <c r="E83" s="35"/>
      <c r="F83" s="35"/>
      <c r="G83" s="35"/>
    </row>
    <row r="84" spans="2:10" x14ac:dyDescent="0.3">
      <c r="B84" s="35" t="s">
        <v>196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">
      <c r="B85" s="35" t="s">
        <v>197</v>
      </c>
      <c r="C85" s="35"/>
      <c r="D85" s="71">
        <v>0.51666134768573579</v>
      </c>
      <c r="E85" s="71">
        <v>0.11059369866547396</v>
      </c>
      <c r="F85" s="71">
        <v>0.32823985750000007</v>
      </c>
      <c r="G85" s="71">
        <v>4.4505096148790169E-2</v>
      </c>
    </row>
    <row r="86" spans="2:10" x14ac:dyDescent="0.3">
      <c r="B86" s="35" t="s">
        <v>198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">
      <c r="B87" s="35" t="s">
        <v>199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  <c r="J87" s="30"/>
    </row>
    <row r="88" spans="2:10" x14ac:dyDescent="0.3">
      <c r="B88" s="35" t="s">
        <v>200</v>
      </c>
      <c r="C88" s="35"/>
      <c r="D88" s="71">
        <v>0.39769197799808981</v>
      </c>
      <c r="E88" s="71">
        <v>8.512776690845017E-2</v>
      </c>
      <c r="F88" s="71">
        <v>0.25265748787228293</v>
      </c>
      <c r="G88" s="71">
        <v>0.26452276722117707</v>
      </c>
    </row>
    <row r="89" spans="2:10" x14ac:dyDescent="0.3">
      <c r="B89" s="35" t="s">
        <v>201</v>
      </c>
      <c r="C89" s="35"/>
      <c r="D89" s="71">
        <v>0.39769197799808981</v>
      </c>
      <c r="E89" s="71">
        <v>8.512776690845017E-2</v>
      </c>
      <c r="F89" s="71">
        <v>0.25265748787228293</v>
      </c>
      <c r="G89" s="71">
        <v>0.26452276722117707</v>
      </c>
    </row>
    <row r="90" spans="2:10" x14ac:dyDescent="0.3">
      <c r="B90" s="35" t="s">
        <v>202</v>
      </c>
      <c r="C90" s="35"/>
      <c r="D90" s="71">
        <v>0.39769197799808981</v>
      </c>
      <c r="E90" s="71">
        <v>8.512776690845017E-2</v>
      </c>
      <c r="F90" s="71">
        <v>0.25265748787228293</v>
      </c>
      <c r="G90" s="71">
        <v>0.26452276722117707</v>
      </c>
    </row>
    <row r="91" spans="2:10" x14ac:dyDescent="0.3">
      <c r="B91" s="35" t="s">
        <v>203</v>
      </c>
      <c r="C91" s="35"/>
      <c r="D91" s="71">
        <v>0.39769197799808981</v>
      </c>
      <c r="E91" s="71">
        <v>8.512776690845017E-2</v>
      </c>
      <c r="F91" s="71">
        <v>0.25265748787228293</v>
      </c>
      <c r="G91" s="71">
        <v>0.26452276722117707</v>
      </c>
    </row>
    <row r="92" spans="2:10" x14ac:dyDescent="0.3">
      <c r="B92" s="35" t="s">
        <v>204</v>
      </c>
      <c r="C92" s="35"/>
      <c r="D92" s="71">
        <v>0.39769197799808981</v>
      </c>
      <c r="E92" s="71">
        <v>8.512776690845017E-2</v>
      </c>
      <c r="F92" s="71">
        <v>0.25265748787228293</v>
      </c>
      <c r="G92" s="71">
        <v>0.26452276722117707</v>
      </c>
    </row>
    <row r="93" spans="2:10" x14ac:dyDescent="0.3">
      <c r="B93" s="64"/>
      <c r="C93" s="64"/>
      <c r="D93" s="64"/>
      <c r="E93" s="64"/>
      <c r="F93" s="64"/>
      <c r="G93" s="64"/>
    </row>
    <row r="94" spans="2:10" x14ac:dyDescent="0.3">
      <c r="B94" s="64"/>
      <c r="C94" s="64"/>
      <c r="D94" s="64"/>
      <c r="E94" s="64"/>
      <c r="F94" s="64"/>
      <c r="G94" s="64"/>
    </row>
    <row r="95" spans="2:10" x14ac:dyDescent="0.3">
      <c r="B95" s="35">
        <v>2024</v>
      </c>
      <c r="C95" s="35"/>
      <c r="D95" s="308" t="s">
        <v>190</v>
      </c>
      <c r="E95" s="308" t="s">
        <v>191</v>
      </c>
      <c r="F95" s="308" t="s">
        <v>192</v>
      </c>
      <c r="G95" s="308" t="s">
        <v>193</v>
      </c>
    </row>
    <row r="96" spans="2:10" x14ac:dyDescent="0.3">
      <c r="B96" s="35" t="s">
        <v>194</v>
      </c>
      <c r="C96" s="35"/>
      <c r="D96" s="308" t="s">
        <v>195</v>
      </c>
      <c r="E96" s="308" t="s">
        <v>195</v>
      </c>
      <c r="F96" s="308" t="s">
        <v>195</v>
      </c>
      <c r="G96" s="308" t="s">
        <v>195</v>
      </c>
    </row>
    <row r="97" spans="2:7" x14ac:dyDescent="0.3">
      <c r="B97" s="35"/>
      <c r="C97" s="35"/>
      <c r="D97" s="35"/>
      <c r="E97" s="35"/>
      <c r="F97" s="35"/>
      <c r="G97" s="35"/>
    </row>
    <row r="98" spans="2:7" x14ac:dyDescent="0.3">
      <c r="B98" s="35" t="s">
        <v>196</v>
      </c>
      <c r="C98" s="35"/>
      <c r="D98" s="71">
        <v>0.41270000000000001</v>
      </c>
      <c r="E98" s="71">
        <v>9.8500000000000004E-2</v>
      </c>
      <c r="F98" s="71">
        <v>0.29160000000000003</v>
      </c>
      <c r="G98" s="71">
        <v>0.1971</v>
      </c>
    </row>
    <row r="99" spans="2:7" x14ac:dyDescent="0.3">
      <c r="B99" s="35" t="s">
        <v>197</v>
      </c>
      <c r="C99" s="35"/>
      <c r="D99" s="71">
        <v>0.49309999999999998</v>
      </c>
      <c r="E99" s="71">
        <v>0.1177</v>
      </c>
      <c r="F99" s="71">
        <v>0.34839999999999999</v>
      </c>
      <c r="G99" s="71">
        <v>4.0800000000000003E-2</v>
      </c>
    </row>
    <row r="100" spans="2:7" x14ac:dyDescent="0.3">
      <c r="B100" s="35" t="s">
        <v>198</v>
      </c>
      <c r="C100" s="35"/>
      <c r="D100" s="71">
        <v>0.41270000000000001</v>
      </c>
      <c r="E100" s="71">
        <v>9.8500000000000004E-2</v>
      </c>
      <c r="F100" s="71">
        <v>0.29160000000000003</v>
      </c>
      <c r="G100" s="71">
        <v>0.1971</v>
      </c>
    </row>
    <row r="101" spans="2:7" x14ac:dyDescent="0.3">
      <c r="B101" s="35" t="s">
        <v>199</v>
      </c>
      <c r="C101" s="35"/>
      <c r="D101" s="71">
        <v>0.41270000000000001</v>
      </c>
      <c r="E101" s="71">
        <v>9.8500000000000004E-2</v>
      </c>
      <c r="F101" s="71">
        <v>0.29160000000000003</v>
      </c>
      <c r="G101" s="71">
        <v>0.1971</v>
      </c>
    </row>
    <row r="102" spans="2:7" x14ac:dyDescent="0.3">
      <c r="B102" s="35" t="s">
        <v>200</v>
      </c>
      <c r="C102" s="35"/>
      <c r="D102" s="71">
        <v>0.41270000000000001</v>
      </c>
      <c r="E102" s="71">
        <v>9.8500000000000004E-2</v>
      </c>
      <c r="F102" s="71">
        <v>0.29160000000000003</v>
      </c>
      <c r="G102" s="71">
        <v>0.1971</v>
      </c>
    </row>
    <row r="103" spans="2:7" x14ac:dyDescent="0.3">
      <c r="B103" s="35" t="s">
        <v>201</v>
      </c>
      <c r="C103" s="35"/>
      <c r="D103" s="71">
        <v>0.41270000000000001</v>
      </c>
      <c r="E103" s="71">
        <v>9.8500000000000004E-2</v>
      </c>
      <c r="F103" s="71">
        <v>0.29160000000000003</v>
      </c>
      <c r="G103" s="71">
        <v>0.1971</v>
      </c>
    </row>
    <row r="104" spans="2:7" x14ac:dyDescent="0.3">
      <c r="B104" s="35" t="s">
        <v>202</v>
      </c>
      <c r="C104" s="35"/>
      <c r="D104" s="71">
        <v>0.41270000000000001</v>
      </c>
      <c r="E104" s="71">
        <v>9.8500000000000004E-2</v>
      </c>
      <c r="F104" s="71">
        <v>0.29160000000000003</v>
      </c>
      <c r="G104" s="71">
        <v>0.1971</v>
      </c>
    </row>
    <row r="105" spans="2:7" x14ac:dyDescent="0.3">
      <c r="B105" s="35" t="s">
        <v>203</v>
      </c>
      <c r="C105" s="35"/>
      <c r="D105" s="71">
        <v>0.41270000000000001</v>
      </c>
      <c r="E105" s="71">
        <v>9.8500000000000004E-2</v>
      </c>
      <c r="F105" s="71">
        <v>0.29160000000000003</v>
      </c>
      <c r="G105" s="71">
        <v>0.1971</v>
      </c>
    </row>
    <row r="106" spans="2:7" x14ac:dyDescent="0.3">
      <c r="B106" s="35" t="s">
        <v>204</v>
      </c>
      <c r="C106" s="35"/>
      <c r="D106" s="71">
        <v>0.41270000000000001</v>
      </c>
      <c r="E106" s="71">
        <v>9.8500000000000004E-2</v>
      </c>
      <c r="F106" s="71">
        <v>0.29160000000000003</v>
      </c>
      <c r="G106" s="71">
        <v>0.1971</v>
      </c>
    </row>
    <row r="107" spans="2:7" x14ac:dyDescent="0.3">
      <c r="B107" s="64"/>
      <c r="C107" s="64"/>
      <c r="D107" s="64"/>
      <c r="E107" s="64"/>
      <c r="F107" s="64"/>
      <c r="G107" s="64"/>
    </row>
    <row r="108" spans="2:7" x14ac:dyDescent="0.3">
      <c r="B108" s="135" t="s">
        <v>284</v>
      </c>
      <c r="C108" s="64"/>
      <c r="D108" s="64"/>
      <c r="E108" s="64"/>
      <c r="F108" s="64"/>
      <c r="G108" s="64"/>
    </row>
    <row r="109" spans="2:7" x14ac:dyDescent="0.3">
      <c r="B109" s="35"/>
      <c r="C109" s="35"/>
      <c r="D109" s="305" t="s">
        <v>190</v>
      </c>
      <c r="E109" s="305" t="s">
        <v>191</v>
      </c>
      <c r="F109" s="305" t="s">
        <v>192</v>
      </c>
      <c r="G109" s="30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71"/>
      <c r="E111" s="71"/>
      <c r="F111" s="71"/>
      <c r="G111" s="71"/>
    </row>
    <row r="112" spans="2:7" x14ac:dyDescent="0.3">
      <c r="B112" s="35" t="s">
        <v>196</v>
      </c>
      <c r="C112" s="35"/>
      <c r="D112" s="71">
        <f t="shared" ref="D112:G120" si="10">((D98*$C$26)+(D84*$D$26))/($C$26+$D$26)</f>
        <v>0.39769197799808981</v>
      </c>
      <c r="E112" s="71">
        <f t="shared" si="10"/>
        <v>8.512776690845017E-2</v>
      </c>
      <c r="F112" s="71">
        <f t="shared" si="10"/>
        <v>0.25265748787228293</v>
      </c>
      <c r="G112" s="71">
        <f t="shared" si="10"/>
        <v>0.26452276722117707</v>
      </c>
    </row>
    <row r="113" spans="2:7" x14ac:dyDescent="0.3">
      <c r="B113" s="35" t="s">
        <v>197</v>
      </c>
      <c r="C113" s="35"/>
      <c r="D113" s="71">
        <f t="shared" si="10"/>
        <v>0.51666134768573579</v>
      </c>
      <c r="E113" s="71">
        <f t="shared" si="10"/>
        <v>0.11059369866547396</v>
      </c>
      <c r="F113" s="71">
        <f t="shared" si="10"/>
        <v>0.32823985750000007</v>
      </c>
      <c r="G113" s="71">
        <f t="shared" si="10"/>
        <v>4.4505096148790169E-2</v>
      </c>
    </row>
    <row r="114" spans="2:7" x14ac:dyDescent="0.3">
      <c r="B114" s="35" t="s">
        <v>198</v>
      </c>
      <c r="C114" s="35"/>
      <c r="D114" s="71">
        <f t="shared" si="10"/>
        <v>0.39769197799808981</v>
      </c>
      <c r="E114" s="71">
        <f t="shared" si="10"/>
        <v>8.512776690845017E-2</v>
      </c>
      <c r="F114" s="71">
        <f t="shared" si="10"/>
        <v>0.25265748787228293</v>
      </c>
      <c r="G114" s="71">
        <f t="shared" si="10"/>
        <v>0.26452276722117707</v>
      </c>
    </row>
    <row r="115" spans="2:7" x14ac:dyDescent="0.3">
      <c r="B115" s="35" t="s">
        <v>199</v>
      </c>
      <c r="C115" s="35"/>
      <c r="D115" s="71">
        <f t="shared" si="10"/>
        <v>0.39769197799808981</v>
      </c>
      <c r="E115" s="71">
        <f t="shared" si="10"/>
        <v>8.512776690845017E-2</v>
      </c>
      <c r="F115" s="71">
        <f t="shared" si="10"/>
        <v>0.25265748787228293</v>
      </c>
      <c r="G115" s="71">
        <f t="shared" si="10"/>
        <v>0.26452276722117707</v>
      </c>
    </row>
    <row r="116" spans="2:7" x14ac:dyDescent="0.3">
      <c r="B116" s="35" t="s">
        <v>200</v>
      </c>
      <c r="C116" s="35"/>
      <c r="D116" s="71">
        <f t="shared" si="10"/>
        <v>0.39769197799808981</v>
      </c>
      <c r="E116" s="71">
        <f t="shared" si="10"/>
        <v>8.512776690845017E-2</v>
      </c>
      <c r="F116" s="71">
        <f t="shared" si="10"/>
        <v>0.25265748787228293</v>
      </c>
      <c r="G116" s="71">
        <f t="shared" si="10"/>
        <v>0.26452276722117707</v>
      </c>
    </row>
    <row r="117" spans="2:7" x14ac:dyDescent="0.3">
      <c r="B117" s="35" t="s">
        <v>201</v>
      </c>
      <c r="C117" s="35"/>
      <c r="D117" s="71">
        <f t="shared" si="10"/>
        <v>0.39769197799808981</v>
      </c>
      <c r="E117" s="71">
        <f t="shared" si="10"/>
        <v>8.512776690845017E-2</v>
      </c>
      <c r="F117" s="71">
        <f t="shared" si="10"/>
        <v>0.25265748787228293</v>
      </c>
      <c r="G117" s="71">
        <f t="shared" si="10"/>
        <v>0.26452276722117707</v>
      </c>
    </row>
    <row r="118" spans="2:7" x14ac:dyDescent="0.3">
      <c r="B118" s="35" t="s">
        <v>202</v>
      </c>
      <c r="C118" s="35"/>
      <c r="D118" s="71">
        <f t="shared" si="10"/>
        <v>0.39769197799808981</v>
      </c>
      <c r="E118" s="71">
        <f t="shared" si="10"/>
        <v>8.512776690845017E-2</v>
      </c>
      <c r="F118" s="71">
        <f t="shared" si="10"/>
        <v>0.25265748787228293</v>
      </c>
      <c r="G118" s="71">
        <f t="shared" si="10"/>
        <v>0.26452276722117707</v>
      </c>
    </row>
    <row r="119" spans="2:7" x14ac:dyDescent="0.3">
      <c r="B119" s="35" t="s">
        <v>203</v>
      </c>
      <c r="C119" s="35"/>
      <c r="D119" s="71">
        <f t="shared" si="10"/>
        <v>0.39769197799808981</v>
      </c>
      <c r="E119" s="71">
        <f t="shared" si="10"/>
        <v>8.512776690845017E-2</v>
      </c>
      <c r="F119" s="71">
        <f t="shared" si="10"/>
        <v>0.25265748787228293</v>
      </c>
      <c r="G119" s="71">
        <f t="shared" si="10"/>
        <v>0.26452276722117707</v>
      </c>
    </row>
    <row r="120" spans="2:7" x14ac:dyDescent="0.3">
      <c r="B120" s="35" t="s">
        <v>204</v>
      </c>
      <c r="C120" s="35"/>
      <c r="D120" s="71">
        <f t="shared" si="10"/>
        <v>0.39769197799808981</v>
      </c>
      <c r="E120" s="71">
        <f t="shared" si="10"/>
        <v>8.512776690845017E-2</v>
      </c>
      <c r="F120" s="71">
        <f t="shared" si="10"/>
        <v>0.25265748787228293</v>
      </c>
      <c r="G120" s="71">
        <f t="shared" si="10"/>
        <v>0.26452276722117707</v>
      </c>
    </row>
  </sheetData>
  <customSheetViews>
    <customSheetView guid="{D812A0C8-60A1-4775-A604-FC65C9DC40BF}" scale="60" showGridLines="0">
      <selection activeCell="I6" sqref="I6:K7"/>
      <pageMargins left="0" right="0" top="0" bottom="0" header="0" footer="0"/>
      <pageSetup orientation="portrait" r:id="rId1"/>
    </customSheetView>
    <customSheetView guid="{8D3CE498-0ABB-4BB0-92D1-93DA2BDD5EDF}" scale="80" showGridLines="0">
      <selection activeCell="H56" sqref="H56"/>
      <pageMargins left="0" right="0" top="0" bottom="0" header="0" footer="0"/>
      <pageSetup orientation="portrait" r:id="rId2"/>
    </customSheetView>
    <customSheetView guid="{455EF305-F4BF-4162-9D3A-67B1D57A792B}" scale="80" showGridLines="0" topLeftCell="A3">
      <selection activeCell="J21" sqref="J21"/>
      <pageMargins left="0" right="0" top="0" bottom="0" header="0" footer="0"/>
      <pageSetup orientation="portrait" r:id="rId3"/>
    </customSheetView>
    <customSheetView guid="{AED82DA2-4B0E-4368-BF7F-A78E16192BBB}" scale="80" showGridLines="0" topLeftCell="A3">
      <selection activeCell="P13" sqref="P13:R13"/>
      <pageMargins left="0" right="0" top="0" bottom="0" header="0" footer="0"/>
      <pageSetup orientation="portrait" r:id="rId4"/>
    </customSheetView>
    <customSheetView guid="{8AD5A21B-3743-481B-8B5E-3FEE10EB7B2F}" scale="80" showGridLines="0">
      <selection activeCell="C7" sqref="C7:K7"/>
      <pageMargins left="0" right="0" top="0" bottom="0" header="0" footer="0"/>
      <pageSetup orientation="portrait" r:id="rId5"/>
    </customSheetView>
  </customSheetViews>
  <mergeCells count="10">
    <mergeCell ref="J51:K51"/>
    <mergeCell ref="L51:M51"/>
    <mergeCell ref="B10:C10"/>
    <mergeCell ref="B50:H50"/>
    <mergeCell ref="C4:E4"/>
    <mergeCell ref="F4:H4"/>
    <mergeCell ref="I4:K4"/>
    <mergeCell ref="B4:B5"/>
    <mergeCell ref="J50:K50"/>
    <mergeCell ref="L50:M50"/>
  </mergeCells>
  <conditionalFormatting sqref="I24:J24">
    <cfRule type="cellIs" dxfId="195" priority="1" operator="equal">
      <formula>"Escassez Hídrica"</formula>
    </cfRule>
    <cfRule type="cellIs" dxfId="194" priority="2" operator="equal">
      <formula>"VERDE"</formula>
    </cfRule>
    <cfRule type="cellIs" dxfId="193" priority="3" operator="equal">
      <formula>"BVM2"</formula>
    </cfRule>
    <cfRule type="cellIs" dxfId="192" priority="4" operator="equal">
      <formula>"BVM1"</formula>
    </cfRule>
    <cfRule type="cellIs" dxfId="191" priority="5" operator="equal">
      <formula>"BAM"</formula>
    </cfRule>
  </conditionalFormatting>
  <conditionalFormatting sqref="M22">
    <cfRule type="cellIs" dxfId="190" priority="25" operator="equal">
      <formula>"VERDE"</formula>
    </cfRule>
    <cfRule type="cellIs" dxfId="189" priority="26" operator="equal">
      <formula>"BVM2"</formula>
    </cfRule>
    <cfRule type="cellIs" dxfId="188" priority="27" operator="equal">
      <formula>"BVM1"</formula>
    </cfRule>
    <cfRule type="cellIs" dxfId="187" priority="28" operator="equal">
      <formula>"BAM"</formula>
    </cfRule>
  </conditionalFormatting>
  <conditionalFormatting sqref="M26">
    <cfRule type="containsText" dxfId="186" priority="12" operator="containsText" text="Escassez Hídrica">
      <formula>NOT(ISERROR(SEARCH("Escassez Hídrica",M26)))</formula>
    </cfRule>
    <cfRule type="cellIs" dxfId="185" priority="13" operator="equal">
      <formula>"VERDE"</formula>
    </cfRule>
    <cfRule type="cellIs" dxfId="184" priority="14" operator="equal">
      <formula>"BVM2"</formula>
    </cfRule>
    <cfRule type="cellIs" dxfId="183" priority="15" operator="equal">
      <formula>"BVM1"</formula>
    </cfRule>
    <cfRule type="cellIs" dxfId="182" priority="16" operator="equal">
      <formula>"BAM"</formula>
    </cfRule>
  </conditionalFormatting>
  <dataValidations count="2">
    <dataValidation type="list" allowBlank="1" showInputMessage="1" showErrorMessage="1" sqref="I24:J24" xr:uid="{00000000-0002-0000-0800-000000000000}">
      <formula1>$M$22:$M$26</formula1>
    </dataValidation>
    <dataValidation type="list" allowBlank="1" showInputMessage="1" showErrorMessage="1" sqref="B12" xr:uid="{00000000-0002-0000-0800-000001000000}">
      <formula1>$B$71:$B$79</formula1>
    </dataValidation>
  </dataValidations>
  <pageMargins left="0.511811024" right="0.511811024" top="0.78740157499999996" bottom="0.78740157499999996" header="0.31496062000000002" footer="0.31496062000000002"/>
  <pageSetup orientation="portrait"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rgb="FFFFFF00"/>
  </sheetPr>
  <dimension ref="A1:Y123"/>
  <sheetViews>
    <sheetView showGridLines="0" tabSelected="1" topLeftCell="A17" zoomScaleNormal="100" workbookViewId="0">
      <selection activeCell="I41" sqref="I41"/>
    </sheetView>
  </sheetViews>
  <sheetFormatPr defaultColWidth="9.21875" defaultRowHeight="14.4" x14ac:dyDescent="0.3"/>
  <cols>
    <col min="1" max="1" width="5.44140625" style="27" customWidth="1"/>
    <col min="2" max="2" width="27.5546875" style="27" customWidth="1"/>
    <col min="3" max="10" width="12.77734375" style="27" customWidth="1"/>
    <col min="11" max="11" width="13.77734375" style="27" bestFit="1" customWidth="1"/>
    <col min="12" max="12" width="9.21875" style="27" customWidth="1"/>
    <col min="13" max="13" width="12.21875" style="27" customWidth="1"/>
    <col min="14" max="14" width="12" style="27" customWidth="1"/>
    <col min="15" max="15" width="8.77734375" style="27" bestFit="1" customWidth="1"/>
    <col min="16" max="16" width="14.21875" style="27" bestFit="1" customWidth="1"/>
    <col min="17" max="17" width="19" style="27" bestFit="1" customWidth="1"/>
    <col min="18" max="18" width="13.21875" style="27" bestFit="1" customWidth="1"/>
    <col min="19" max="19" width="21.21875" style="27" bestFit="1" customWidth="1"/>
    <col min="20" max="21" width="13.21875" style="27" bestFit="1" customWidth="1"/>
    <col min="22" max="22" width="11.21875" style="27" bestFit="1" customWidth="1"/>
    <col min="23" max="23" width="21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5" x14ac:dyDescent="0.3">
      <c r="A1" s="27" t="s">
        <v>210</v>
      </c>
      <c r="B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5" ht="18" x14ac:dyDescent="0.3">
      <c r="A2" s="27" t="s">
        <v>210</v>
      </c>
      <c r="B2" s="12" t="s">
        <v>293</v>
      </c>
      <c r="E2" s="462" t="s">
        <v>294</v>
      </c>
      <c r="F2" s="452">
        <f>'B1CDE '!F2</f>
        <v>46023</v>
      </c>
      <c r="G2" s="25" t="s">
        <v>210</v>
      </c>
      <c r="J2" s="25"/>
      <c r="K2" s="25"/>
      <c r="M2" s="37"/>
    </row>
    <row r="3" spans="1:25" x14ac:dyDescent="0.3">
      <c r="V3" s="35" t="s">
        <v>196</v>
      </c>
    </row>
    <row r="4" spans="1:25" ht="15" customHeight="1" x14ac:dyDescent="0.3">
      <c r="B4" s="790" t="s">
        <v>212</v>
      </c>
      <c r="C4" s="791" t="s">
        <v>213</v>
      </c>
      <c r="D4" s="791"/>
      <c r="E4" s="791"/>
      <c r="F4" s="791" t="s">
        <v>214</v>
      </c>
      <c r="G4" s="791"/>
      <c r="H4" s="791"/>
      <c r="I4" s="787" t="s">
        <v>215</v>
      </c>
      <c r="J4" s="787"/>
      <c r="K4" s="787"/>
      <c r="U4"/>
      <c r="V4" s="35" t="s">
        <v>197</v>
      </c>
      <c r="Y4" s="25"/>
    </row>
    <row r="5" spans="1:25" x14ac:dyDescent="0.3">
      <c r="B5" s="790"/>
      <c r="C5" s="318" t="s">
        <v>217</v>
      </c>
      <c r="D5" s="318" t="s">
        <v>7</v>
      </c>
      <c r="E5" s="318" t="s">
        <v>218</v>
      </c>
      <c r="F5" s="318" t="s">
        <v>217</v>
      </c>
      <c r="G5" s="318" t="s">
        <v>7</v>
      </c>
      <c r="H5" s="318" t="s">
        <v>218</v>
      </c>
      <c r="I5" s="318" t="s">
        <v>217</v>
      </c>
      <c r="J5" s="318" t="s">
        <v>7</v>
      </c>
      <c r="K5" s="318" t="s">
        <v>218</v>
      </c>
      <c r="U5"/>
      <c r="V5" s="35" t="s">
        <v>198</v>
      </c>
      <c r="Y5" s="25"/>
    </row>
    <row r="6" spans="1:25" x14ac:dyDescent="0.3">
      <c r="B6" s="319" t="s">
        <v>295</v>
      </c>
      <c r="C6" s="315">
        <v>0.80696000000000001</v>
      </c>
      <c r="D6" s="315">
        <v>0.43036000000000002</v>
      </c>
      <c r="E6" s="319">
        <f t="shared" ref="E6:E9" si="0">C6+D6</f>
        <v>1.23732</v>
      </c>
      <c r="F6" s="319">
        <v>0.86563000000000001</v>
      </c>
      <c r="G6" s="319">
        <v>0.49484</v>
      </c>
      <c r="H6" s="319">
        <f t="shared" ref="H6:H9" si="1">F6+G6</f>
        <v>1.3604700000000001</v>
      </c>
      <c r="I6" s="463">
        <f t="shared" ref="I6:J9" si="2">((C6*$C$26)+(F6*$D$26))/($D$26+$C$26)</f>
        <v>0.86563000000000001</v>
      </c>
      <c r="J6" s="463">
        <f t="shared" si="2"/>
        <v>0.49484</v>
      </c>
      <c r="K6" s="463">
        <f t="shared" ref="K6:K9" si="3">I6+J6</f>
        <v>1.3604700000000001</v>
      </c>
      <c r="U6"/>
      <c r="V6" s="64" t="s">
        <v>199</v>
      </c>
      <c r="Y6"/>
    </row>
    <row r="7" spans="1:25" customFormat="1" x14ac:dyDescent="0.3">
      <c r="B7" s="319" t="s">
        <v>296</v>
      </c>
      <c r="C7" s="315">
        <v>0.5404500000000001</v>
      </c>
      <c r="D7" s="315">
        <v>0.26735000000000003</v>
      </c>
      <c r="E7" s="319">
        <f t="shared" si="0"/>
        <v>0.80780000000000007</v>
      </c>
      <c r="F7" s="319">
        <v>0.5998</v>
      </c>
      <c r="G7" s="319">
        <v>0.31504000000000004</v>
      </c>
      <c r="H7" s="319">
        <f t="shared" si="1"/>
        <v>0.9148400000000001</v>
      </c>
      <c r="I7" s="463">
        <f t="shared" si="2"/>
        <v>0.5998</v>
      </c>
      <c r="J7" s="463">
        <f t="shared" si="2"/>
        <v>0.31504000000000004</v>
      </c>
      <c r="K7" s="463">
        <f t="shared" si="3"/>
        <v>0.9148400000000001</v>
      </c>
      <c r="M7" s="27"/>
      <c r="N7" s="27"/>
      <c r="O7" s="27"/>
      <c r="P7" s="27"/>
      <c r="Q7" s="27"/>
      <c r="R7" s="27"/>
      <c r="S7" s="27"/>
      <c r="T7" s="27"/>
      <c r="V7" s="64" t="s">
        <v>200</v>
      </c>
      <c r="W7" s="27"/>
      <c r="X7" s="27"/>
    </row>
    <row r="8" spans="1:25" customFormat="1" x14ac:dyDescent="0.3">
      <c r="B8" s="319" t="s">
        <v>16</v>
      </c>
      <c r="C8" s="315">
        <v>0.27394999999999997</v>
      </c>
      <c r="D8" s="315">
        <v>0.26735000000000003</v>
      </c>
      <c r="E8" s="319">
        <f t="shared" si="0"/>
        <v>0.5413</v>
      </c>
      <c r="F8" s="319">
        <v>0.33398</v>
      </c>
      <c r="G8" s="319">
        <v>0.31504000000000004</v>
      </c>
      <c r="H8" s="319">
        <f t="shared" si="1"/>
        <v>0.64902000000000004</v>
      </c>
      <c r="I8" s="463">
        <f t="shared" si="2"/>
        <v>0.33398</v>
      </c>
      <c r="J8" s="463">
        <f t="shared" si="2"/>
        <v>0.31504000000000004</v>
      </c>
      <c r="K8" s="463">
        <f t="shared" si="3"/>
        <v>0.64902000000000004</v>
      </c>
      <c r="O8" s="27"/>
      <c r="P8" s="27"/>
      <c r="Q8" s="27"/>
      <c r="R8" s="27"/>
      <c r="S8" s="27"/>
      <c r="T8" s="27"/>
      <c r="V8" s="35" t="s">
        <v>201</v>
      </c>
      <c r="W8" s="27"/>
      <c r="X8" s="27"/>
    </row>
    <row r="9" spans="1:25" customFormat="1" x14ac:dyDescent="0.3">
      <c r="B9" s="464" t="s">
        <v>297</v>
      </c>
      <c r="C9" s="463">
        <v>1.1506162773328076E-4</v>
      </c>
      <c r="D9" s="463">
        <v>-2.0731505487585774E-3</v>
      </c>
      <c r="E9" s="319">
        <f t="shared" si="0"/>
        <v>-1.9580889210252966E-3</v>
      </c>
      <c r="F9" s="463">
        <v>1.2448550414992767E-4</v>
      </c>
      <c r="G9" s="463">
        <v>-1.27319E-3</v>
      </c>
      <c r="H9" s="463">
        <f t="shared" si="1"/>
        <v>-1.1487044958500723E-3</v>
      </c>
      <c r="I9" s="319">
        <f t="shared" si="2"/>
        <v>1.2448550414992767E-4</v>
      </c>
      <c r="J9" s="319">
        <f t="shared" si="2"/>
        <v>-1.27319E-3</v>
      </c>
      <c r="K9" s="463">
        <f t="shared" si="3"/>
        <v>-1.1487044958500723E-3</v>
      </c>
      <c r="O9" s="27"/>
      <c r="P9" s="27"/>
      <c r="Q9" s="27"/>
      <c r="V9" s="35" t="s">
        <v>202</v>
      </c>
    </row>
    <row r="10" spans="1:25" customFormat="1" x14ac:dyDescent="0.3">
      <c r="B10" s="258"/>
      <c r="C10" s="259"/>
      <c r="D10" s="259"/>
      <c r="E10" s="259"/>
      <c r="F10" s="259"/>
      <c r="G10" s="259"/>
      <c r="H10" s="259"/>
      <c r="I10" s="260"/>
      <c r="J10" s="260"/>
      <c r="K10" s="259"/>
      <c r="O10" s="27"/>
      <c r="P10" s="27"/>
      <c r="Q10" s="27"/>
      <c r="V10" s="35" t="s">
        <v>203</v>
      </c>
    </row>
    <row r="11" spans="1:25" customFormat="1" x14ac:dyDescent="0.3">
      <c r="B11" s="258"/>
      <c r="C11" s="259"/>
      <c r="D11" s="259"/>
      <c r="E11" s="259"/>
      <c r="F11" s="259"/>
      <c r="G11" s="259"/>
      <c r="H11" s="259"/>
      <c r="I11" s="260"/>
      <c r="J11" s="260"/>
      <c r="K11" s="259"/>
      <c r="O11" s="27"/>
      <c r="P11" s="27"/>
      <c r="Q11" s="27"/>
      <c r="V11" s="35" t="s">
        <v>204</v>
      </c>
    </row>
    <row r="12" spans="1:25" customFormat="1" x14ac:dyDescent="0.3">
      <c r="B12" s="770" t="s">
        <v>226</v>
      </c>
      <c r="C12" s="771"/>
      <c r="D12" s="259"/>
      <c r="E12" s="259"/>
      <c r="F12" s="259"/>
      <c r="G12" s="259"/>
      <c r="H12" s="788" t="s">
        <v>298</v>
      </c>
      <c r="I12" s="789"/>
      <c r="J12" s="465" t="s">
        <v>299</v>
      </c>
      <c r="K12" s="466" t="s">
        <v>228</v>
      </c>
    </row>
    <row r="13" spans="1:25" customFormat="1" x14ac:dyDescent="0.3">
      <c r="B13" s="454" t="s">
        <v>229</v>
      </c>
      <c r="C13" s="454" t="s">
        <v>230</v>
      </c>
      <c r="D13" s="259"/>
      <c r="E13" s="259"/>
      <c r="F13" s="259"/>
      <c r="G13" s="259"/>
      <c r="H13" s="259"/>
      <c r="I13" s="260"/>
      <c r="J13" s="455">
        <f>K19</f>
        <v>0.51679067884372398</v>
      </c>
      <c r="K13" s="467">
        <f>SUM(D30:D32)*J13</f>
        <v>339.53147600032668</v>
      </c>
    </row>
    <row r="14" spans="1:25" customFormat="1" x14ac:dyDescent="0.3">
      <c r="B14" s="421" t="s">
        <v>196</v>
      </c>
      <c r="C14" s="457">
        <f>J54</f>
        <v>483.11</v>
      </c>
      <c r="D14" s="259"/>
      <c r="E14" s="259"/>
      <c r="F14" s="259"/>
      <c r="G14" s="259"/>
      <c r="H14" s="259"/>
      <c r="I14" s="260"/>
      <c r="J14" s="468">
        <f>K20</f>
        <v>0.31007442885930497</v>
      </c>
      <c r="K14" s="467">
        <f>SUM(D30:D32)*J14</f>
        <v>203.71889976056337</v>
      </c>
    </row>
    <row r="15" spans="1:25" customFormat="1" x14ac:dyDescent="0.3">
      <c r="B15" s="258"/>
      <c r="C15" s="259"/>
      <c r="D15" s="259"/>
      <c r="E15" s="259"/>
      <c r="F15" s="259"/>
      <c r="G15" s="259"/>
      <c r="H15" s="259"/>
      <c r="I15" s="260"/>
      <c r="J15" s="468">
        <f>K21</f>
        <v>0.10335817887488499</v>
      </c>
      <c r="K15" s="467">
        <f>SUM(D30:D32)*J15</f>
        <v>67.906323520799447</v>
      </c>
    </row>
    <row r="16" spans="1:25" customFormat="1" x14ac:dyDescent="0.3">
      <c r="B16" s="458"/>
      <c r="C16" s="459" t="s">
        <v>170</v>
      </c>
      <c r="D16" s="259"/>
      <c r="E16" s="259"/>
      <c r="F16" s="259"/>
      <c r="G16" s="259"/>
      <c r="H16" s="259"/>
      <c r="I16" s="260"/>
      <c r="J16" s="260"/>
      <c r="K16" s="259"/>
    </row>
    <row r="17" spans="1:25" customFormat="1" ht="27.6" x14ac:dyDescent="0.3">
      <c r="B17" s="458" t="s">
        <v>190</v>
      </c>
      <c r="C17" s="457">
        <f>$C$14*(VLOOKUP($B$14,B107:G115,3,0))</f>
        <v>192.12897149065716</v>
      </c>
      <c r="D17" s="259"/>
      <c r="E17" s="259"/>
      <c r="F17" s="259"/>
      <c r="G17" s="259"/>
      <c r="H17" s="790" t="s">
        <v>212</v>
      </c>
      <c r="I17" s="469" t="str">
        <f>C4</f>
        <v xml:space="preserve">TARIFA ANTIGA </v>
      </c>
      <c r="J17" s="469" t="str">
        <f>F4</f>
        <v>TARIFA NOVA</v>
      </c>
      <c r="K17" s="469" t="s">
        <v>215</v>
      </c>
    </row>
    <row r="18" spans="1:25" customFormat="1" x14ac:dyDescent="0.3">
      <c r="B18" s="458" t="s">
        <v>192</v>
      </c>
      <c r="C18" s="457">
        <f>$C$14*(VLOOKUP($B$14,B107:G115,5,0))</f>
        <v>122.06135896597861</v>
      </c>
      <c r="D18" s="259"/>
      <c r="E18" s="259"/>
      <c r="F18" s="259"/>
      <c r="G18" s="259"/>
      <c r="H18" s="790"/>
      <c r="I18" s="318"/>
      <c r="J18" s="318"/>
      <c r="K18" s="318"/>
    </row>
    <row r="19" spans="1:25" customFormat="1" x14ac:dyDescent="0.3">
      <c r="B19" s="458" t="s">
        <v>191</v>
      </c>
      <c r="C19" s="457">
        <f>$C$14*(VLOOKUP($B$14,B107:G115,4,0))</f>
        <v>41.126075471141363</v>
      </c>
      <c r="D19" s="259"/>
      <c r="E19" s="259"/>
      <c r="F19" s="259"/>
      <c r="G19" s="259"/>
      <c r="H19" s="319" t="s">
        <v>295</v>
      </c>
      <c r="I19" s="319">
        <v>0.51400286775744597</v>
      </c>
      <c r="J19" s="319">
        <v>0.51679067884372398</v>
      </c>
      <c r="K19" s="319">
        <f>((I19*$C$26)+(J19*$D$26))/($D$26+$C$26)</f>
        <v>0.51679067884372398</v>
      </c>
    </row>
    <row r="20" spans="1:25" x14ac:dyDescent="0.3">
      <c r="B20" s="458" t="s">
        <v>235</v>
      </c>
      <c r="C20" s="457">
        <f>$C$14*(VLOOKUP($B$14,B107:G115,6,0))</f>
        <v>127.79359407222286</v>
      </c>
      <c r="G20" s="25"/>
      <c r="H20" s="319" t="s">
        <v>296</v>
      </c>
      <c r="I20" s="319">
        <v>0.30840174209127003</v>
      </c>
      <c r="J20" s="319">
        <v>0.31007442885930497</v>
      </c>
      <c r="K20" s="319">
        <f>((I20*$C$26)+(J20*$D$26))/($D$26+$C$26)</f>
        <v>0.31007442885930497</v>
      </c>
      <c r="O20" s="29"/>
      <c r="U20" s="25"/>
      <c r="V20" s="25"/>
      <c r="W20" s="25"/>
      <c r="X20" s="25"/>
      <c r="Y20" s="25"/>
    </row>
    <row r="21" spans="1:25" x14ac:dyDescent="0.3">
      <c r="B21" s="458" t="s">
        <v>236</v>
      </c>
      <c r="C21" s="457">
        <f>K54</f>
        <v>130.40508547887725</v>
      </c>
      <c r="G21" s="25"/>
      <c r="H21" s="319" t="s">
        <v>16</v>
      </c>
      <c r="I21" s="319">
        <v>0.102800616425095</v>
      </c>
      <c r="J21" s="319">
        <v>0.10335817887488499</v>
      </c>
      <c r="K21" s="319">
        <f>((I21*$C$26)+(J21*$D$26))/($D$26+$C$26)</f>
        <v>0.10335817887488499</v>
      </c>
      <c r="M21" s="13" t="s">
        <v>238</v>
      </c>
      <c r="N21" s="13" t="s">
        <v>239</v>
      </c>
      <c r="O21" s="29"/>
      <c r="U21" s="25"/>
      <c r="V21" s="25"/>
      <c r="W21" s="25"/>
      <c r="X21" s="25"/>
      <c r="Y21" s="25"/>
    </row>
    <row r="22" spans="1:25" x14ac:dyDescent="0.3">
      <c r="A22" s="25"/>
      <c r="B22" s="459" t="s">
        <v>237</v>
      </c>
      <c r="C22" s="460">
        <f>SUM(C17:C21)</f>
        <v>613.51508547887715</v>
      </c>
      <c r="D22" s="25"/>
      <c r="E22" s="25"/>
      <c r="F22" s="25"/>
      <c r="G22" s="25"/>
      <c r="H22" s="25"/>
      <c r="I22" s="25"/>
      <c r="L22" s="29"/>
      <c r="M22" s="21" t="s">
        <v>74</v>
      </c>
      <c r="N22" s="246">
        <v>0</v>
      </c>
    </row>
    <row r="23" spans="1:25" x14ac:dyDescent="0.3">
      <c r="A23" s="25"/>
      <c r="B23" s="25"/>
      <c r="C23" s="25"/>
      <c r="D23" s="25"/>
      <c r="E23" s="25"/>
      <c r="F23" s="25"/>
      <c r="G23" s="25"/>
      <c r="H23" s="25"/>
      <c r="M23" s="124" t="s">
        <v>240</v>
      </c>
      <c r="N23" s="125">
        <v>1.8849999999999999E-2</v>
      </c>
    </row>
    <row r="24" spans="1:25" x14ac:dyDescent="0.3">
      <c r="A24" s="25"/>
      <c r="B24" s="25"/>
      <c r="C24" s="25"/>
      <c r="D24" s="25"/>
      <c r="E24" s="25"/>
      <c r="F24" s="25"/>
      <c r="H24" s="231">
        <f>EOMONTH(B26,0)+1</f>
        <v>46143</v>
      </c>
      <c r="I24" s="21" t="s">
        <v>74</v>
      </c>
      <c r="J24" s="244" t="s">
        <v>240</v>
      </c>
      <c r="M24" s="9" t="s">
        <v>241</v>
      </c>
      <c r="N24" s="245">
        <v>4.4630000000000003E-2</v>
      </c>
    </row>
    <row r="25" spans="1:25" ht="27.6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470" t="s">
        <v>223</v>
      </c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v>46126</v>
      </c>
      <c r="C26" s="32">
        <f>IF((F2-B26-1)&lt;0,0,(F2-B26-1))</f>
        <v>0</v>
      </c>
      <c r="D26" s="32">
        <f>E26-F2+1</f>
        <v>134</v>
      </c>
      <c r="E26" s="233">
        <v>46156</v>
      </c>
      <c r="F26" s="471">
        <f>E26</f>
        <v>46156</v>
      </c>
      <c r="H26" s="33">
        <f>B26</f>
        <v>46126</v>
      </c>
      <c r="I26" s="34">
        <f>IF((H24-H26-1)&lt;0,0,(H24-H26-1))</f>
        <v>16</v>
      </c>
      <c r="J26" s="34">
        <f>K26-H24+1</f>
        <v>14</v>
      </c>
      <c r="K26" s="33">
        <f>E26</f>
        <v>46156</v>
      </c>
      <c r="M26" s="261" t="s">
        <v>245</v>
      </c>
      <c r="N26" s="262">
        <v>0.14199999999999999</v>
      </c>
    </row>
    <row r="27" spans="1:25" s="25" customFormat="1" x14ac:dyDescent="0.3">
      <c r="F27" s="110"/>
      <c r="G27" s="110"/>
      <c r="P27" s="183"/>
    </row>
    <row r="28" spans="1:25" ht="42" customHeight="1" x14ac:dyDescent="0.3">
      <c r="B28" s="160" t="s">
        <v>53</v>
      </c>
      <c r="C28" s="160" t="s">
        <v>248</v>
      </c>
      <c r="D28" s="160" t="s">
        <v>249</v>
      </c>
      <c r="E28" s="161" t="s">
        <v>250</v>
      </c>
      <c r="F28" s="161" t="s">
        <v>251</v>
      </c>
      <c r="G28" s="161" t="s">
        <v>252</v>
      </c>
      <c r="H28" s="161" t="s">
        <v>253</v>
      </c>
      <c r="I28" s="161" t="s">
        <v>254</v>
      </c>
      <c r="J28" s="161" t="s">
        <v>255</v>
      </c>
      <c r="K28" s="162" t="s">
        <v>256</v>
      </c>
      <c r="L28" s="160" t="s">
        <v>257</v>
      </c>
      <c r="M28" s="161" t="s">
        <v>258</v>
      </c>
      <c r="N28" s="161" t="s">
        <v>259</v>
      </c>
      <c r="O28" s="161" t="s">
        <v>260</v>
      </c>
    </row>
    <row r="29" spans="1:25" x14ac:dyDescent="0.3"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46"/>
      <c r="M29" s="163"/>
      <c r="N29" s="163"/>
      <c r="O29" s="163"/>
      <c r="P29" s="25"/>
      <c r="Q29" s="25"/>
      <c r="R29" s="25"/>
      <c r="S29" s="25"/>
      <c r="T29" s="25"/>
      <c r="U29" s="25"/>
      <c r="V29" s="25"/>
    </row>
    <row r="30" spans="1:25" x14ac:dyDescent="0.3">
      <c r="B30" s="163" t="s">
        <v>300</v>
      </c>
      <c r="C30" s="164" t="s">
        <v>262</v>
      </c>
      <c r="D30" s="228">
        <v>57</v>
      </c>
      <c r="E30" s="171">
        <f>IFERROR((ROUND(D30*K30,2)+ROUND(G30,2)+ROUND(J30,2))/ROUND(D30,4),0)</f>
        <v>1.0992982456140352</v>
      </c>
      <c r="F30" s="169">
        <f>ROUND(D30*E30,2)</f>
        <v>62.66</v>
      </c>
      <c r="G30" s="169">
        <f>((D30*K30)/(1-$N$30-$N$31))*($N$30+$N$31)</f>
        <v>2.0398147735082786</v>
      </c>
      <c r="H30" s="176">
        <f>ROUND((D30*K30)/(1-$N$30-$N$31)/(1-$I$30),8)</f>
        <v>62.65942046</v>
      </c>
      <c r="I30" s="237">
        <v>0.18</v>
      </c>
      <c r="J30" s="176">
        <f>H30*$I$30</f>
        <v>11.278695682799999</v>
      </c>
      <c r="K30" s="267">
        <f>I6</f>
        <v>0.86563000000000001</v>
      </c>
      <c r="L30" s="95" t="s">
        <v>263</v>
      </c>
      <c r="M30" s="169">
        <f>D69</f>
        <v>503.08237009267935</v>
      </c>
      <c r="N30" s="237">
        <f>'B1C ICMS'!N31</f>
        <v>7.1000000000000004E-3</v>
      </c>
      <c r="O30" s="178">
        <f>ROUND(M30*N30,2)</f>
        <v>3.57</v>
      </c>
      <c r="P30" s="25"/>
      <c r="Q30" s="25"/>
      <c r="R30" s="25"/>
      <c r="S30" s="25"/>
      <c r="T30" s="25"/>
      <c r="U30" s="25"/>
      <c r="V30" s="25"/>
    </row>
    <row r="31" spans="1:25" x14ac:dyDescent="0.3">
      <c r="B31" s="163" t="s">
        <v>301</v>
      </c>
      <c r="C31" s="164" t="s">
        <v>262</v>
      </c>
      <c r="D31" s="228">
        <v>39</v>
      </c>
      <c r="E31" s="171">
        <f t="shared" ref="E31:E35" si="4">IFERROR((ROUND(D31*K31,2)+ROUND(G31,2)+ROUND(J31,2))/ROUND(D31,4),0)</f>
        <v>0.76179487179487182</v>
      </c>
      <c r="F31" s="169">
        <f t="shared" ref="F31:F39" si="5">ROUND(D31*E31,2)</f>
        <v>29.71</v>
      </c>
      <c r="G31" s="169">
        <f>((D31*K31)/(1-$N$30-$N$31))*($N$30+$N$31)</f>
        <v>0.96706273039675095</v>
      </c>
      <c r="H31" s="176">
        <f>ROUND((D31*K31)/(1-$N$30-$N$31)/(1-$I$30),8)</f>
        <v>29.70641796</v>
      </c>
      <c r="I31" s="236"/>
      <c r="J31" s="176">
        <f t="shared" ref="J31:J39" si="6">H31*$I$30</f>
        <v>5.3471552327999996</v>
      </c>
      <c r="K31" s="267">
        <f>I7</f>
        <v>0.5998</v>
      </c>
      <c r="L31" s="95" t="s">
        <v>265</v>
      </c>
      <c r="M31" s="169">
        <f>M30</f>
        <v>503.08237009267935</v>
      </c>
      <c r="N31" s="237">
        <f>'B1C ICMS'!N32</f>
        <v>3.2599999999999997E-2</v>
      </c>
      <c r="O31" s="178">
        <f>ROUND(M31*N31,2)</f>
        <v>16.399999999999999</v>
      </c>
      <c r="P31" s="25"/>
      <c r="Q31" s="25"/>
      <c r="R31" s="25"/>
      <c r="S31" s="25"/>
      <c r="T31" s="25"/>
      <c r="U31" s="25"/>
      <c r="V31" s="25"/>
    </row>
    <row r="32" spans="1:25" x14ac:dyDescent="0.3">
      <c r="B32" s="163" t="s">
        <v>302</v>
      </c>
      <c r="C32" s="164" t="s">
        <v>262</v>
      </c>
      <c r="D32" s="228">
        <v>561</v>
      </c>
      <c r="E32" s="171">
        <f t="shared" si="4"/>
        <v>0.42413547237076649</v>
      </c>
      <c r="F32" s="169">
        <f t="shared" si="5"/>
        <v>237.94</v>
      </c>
      <c r="G32" s="169">
        <f>((D32*K32)/(1-$N$30-$N$31))*($N$30+$N$31)</f>
        <v>7.7458110652920951</v>
      </c>
      <c r="H32" s="176">
        <f>ROUND((D32*K32)/(1-$N$30-$N$31)/(1-$I$30),8)</f>
        <v>237.93730618000001</v>
      </c>
      <c r="I32" s="236"/>
      <c r="J32" s="176">
        <f t="shared" si="6"/>
        <v>42.828715112399998</v>
      </c>
      <c r="K32" s="267">
        <f>I8</f>
        <v>0.33398</v>
      </c>
      <c r="L32" s="205"/>
      <c r="M32" s="206"/>
      <c r="N32" s="207"/>
      <c r="O32" s="208"/>
      <c r="P32" s="25"/>
      <c r="Q32" s="25"/>
      <c r="R32" s="25"/>
      <c r="S32" s="25"/>
      <c r="T32" s="25"/>
      <c r="U32" s="25"/>
      <c r="V32" s="25"/>
    </row>
    <row r="33" spans="2:22" x14ac:dyDescent="0.3">
      <c r="B33" s="163" t="s">
        <v>303</v>
      </c>
      <c r="C33" s="164" t="s">
        <v>262</v>
      </c>
      <c r="D33" s="184">
        <f>D30</f>
        <v>57</v>
      </c>
      <c r="E33" s="171">
        <f t="shared" si="4"/>
        <v>0.62859649122807026</v>
      </c>
      <c r="F33" s="169">
        <f t="shared" si="5"/>
        <v>35.83</v>
      </c>
      <c r="G33" s="169">
        <f>((D33*K33)/(1-$N$30-$N$31))*($N$30+$N$31)</f>
        <v>1.1660662667916277</v>
      </c>
      <c r="H33" s="176">
        <f>(D33*K33)/(1-$N$30-$N$31)/(1-$I$30)</f>
        <v>35.819446666819054</v>
      </c>
      <c r="I33" s="163"/>
      <c r="J33" s="176">
        <f t="shared" si="6"/>
        <v>6.4475004000274296</v>
      </c>
      <c r="K33" s="267">
        <f>J6</f>
        <v>0.49484</v>
      </c>
      <c r="L33" s="205"/>
      <c r="M33" s="206"/>
      <c r="N33" s="207"/>
      <c r="O33" s="208"/>
      <c r="P33" s="25"/>
      <c r="Q33" s="25"/>
      <c r="R33" s="25"/>
      <c r="S33" s="25"/>
      <c r="T33" s="25"/>
      <c r="U33" s="25"/>
      <c r="V33" s="25"/>
    </row>
    <row r="34" spans="2:22" x14ac:dyDescent="0.3">
      <c r="B34" s="163" t="s">
        <v>304</v>
      </c>
      <c r="C34" s="164" t="s">
        <v>262</v>
      </c>
      <c r="D34" s="184">
        <f>D31</f>
        <v>39</v>
      </c>
      <c r="E34" s="171">
        <f t="shared" si="4"/>
        <v>0.40025641025641023</v>
      </c>
      <c r="F34" s="169">
        <f t="shared" si="5"/>
        <v>15.61</v>
      </c>
      <c r="G34" s="169">
        <f t="shared" ref="G34:G35" si="7">((D34*K34)/(1-$N$30-$N$31))*($N$30+$N$31)</f>
        <v>0.50794171821305845</v>
      </c>
      <c r="H34" s="176">
        <f t="shared" ref="H34:H35" si="8">(D34*K34)/(1-$N$30-$N$31)/(1-$I$30)</f>
        <v>15.603050875869583</v>
      </c>
      <c r="I34" s="163"/>
      <c r="J34" s="176">
        <f t="shared" si="6"/>
        <v>2.8085491576565249</v>
      </c>
      <c r="K34" s="267">
        <f>J7</f>
        <v>0.31504000000000004</v>
      </c>
      <c r="L34" s="205"/>
      <c r="M34" s="206"/>
      <c r="N34" s="207"/>
      <c r="O34" s="208"/>
      <c r="P34" s="25"/>
      <c r="Q34" s="25"/>
      <c r="R34" s="25"/>
      <c r="S34" s="25"/>
      <c r="T34" s="25"/>
      <c r="U34" s="25"/>
    </row>
    <row r="35" spans="2:22" x14ac:dyDescent="0.3">
      <c r="B35" s="163" t="s">
        <v>305</v>
      </c>
      <c r="C35" s="164" t="s">
        <v>262</v>
      </c>
      <c r="D35" s="184">
        <f>D32</f>
        <v>561</v>
      </c>
      <c r="E35" s="171">
        <f t="shared" si="4"/>
        <v>0.40008912655971485</v>
      </c>
      <c r="F35" s="169">
        <f t="shared" si="5"/>
        <v>224.45</v>
      </c>
      <c r="G35" s="169">
        <f t="shared" si="7"/>
        <v>7.3065462542955322</v>
      </c>
      <c r="H35" s="176">
        <f t="shared" si="8"/>
        <v>224.44388567597014</v>
      </c>
      <c r="I35" s="163"/>
      <c r="J35" s="176">
        <f t="shared" si="6"/>
        <v>40.399899421674625</v>
      </c>
      <c r="K35" s="267">
        <f>J8</f>
        <v>0.31504000000000004</v>
      </c>
      <c r="L35" s="205"/>
      <c r="M35" s="206"/>
      <c r="N35" s="207"/>
      <c r="O35" s="208"/>
      <c r="P35" s="25"/>
      <c r="Q35" s="25"/>
      <c r="R35" s="25"/>
      <c r="S35" s="25"/>
      <c r="T35" s="25"/>
      <c r="U35" s="25"/>
    </row>
    <row r="36" spans="2:22" x14ac:dyDescent="0.3">
      <c r="B36" s="163" t="s">
        <v>268</v>
      </c>
      <c r="C36" s="164" t="s">
        <v>262</v>
      </c>
      <c r="D36" s="184">
        <f>IF($I$24=M23,(($D$30+$D$31+$D$32)*($I$26)/($I$26+$J$26)),0)+IF($J$24=M23,(($D$30+$D$31+$D$32)*($J$26)/($I$26+$J$26)),0)</f>
        <v>306.60000000000002</v>
      </c>
      <c r="E36" s="171">
        <f>K36/(1-$N$30-$N$31)/(1-$I$30)</f>
        <v>2.3938149409610303E-2</v>
      </c>
      <c r="F36" s="169">
        <f>ROUND(D36*E36,2)</f>
        <v>7.34</v>
      </c>
      <c r="G36" s="169">
        <f>((D36*K36)/(1-$N$30-$N$31))*($N$30+$N$31)</f>
        <v>0.2389280193689472</v>
      </c>
      <c r="H36" s="176">
        <f>(D36*K36)/(1-$N$30-$N$31)/(1-$I$30)</f>
        <v>7.3394366089865208</v>
      </c>
      <c r="I36" s="163"/>
      <c r="J36" s="176">
        <f t="shared" si="6"/>
        <v>1.3210985896175738</v>
      </c>
      <c r="K36" s="171">
        <f>N23</f>
        <v>1.8849999999999999E-2</v>
      </c>
      <c r="L36" s="63"/>
      <c r="M36" s="166"/>
      <c r="N36" s="166"/>
      <c r="O36" s="166"/>
      <c r="P36" s="25"/>
      <c r="S36" s="25"/>
      <c r="T36" s="25"/>
      <c r="U36" s="25"/>
    </row>
    <row r="37" spans="2:22" x14ac:dyDescent="0.3">
      <c r="B37" s="163" t="s">
        <v>269</v>
      </c>
      <c r="C37" s="164" t="s">
        <v>262</v>
      </c>
      <c r="D37" s="184">
        <f>IF($I$24=M24,(($D$30+$D$31+$D$32)*($I$26)/($I$26+$J$26)),0)+IF($J$24=M24,(($D$30+$D$31+$D$32)*($J$26)/($I$26+$J$26)),0)</f>
        <v>0</v>
      </c>
      <c r="E37" s="171">
        <f>K37/(1-$N$30-$N$31)/(1-$I$30)</f>
        <v>5.6676902289172847E-2</v>
      </c>
      <c r="F37" s="169">
        <f t="shared" si="5"/>
        <v>0</v>
      </c>
      <c r="G37" s="169">
        <f>((D37*K37)/(1-$N$30-$N$31))*($N$30+$N$31)</f>
        <v>0</v>
      </c>
      <c r="H37" s="176">
        <f>(D37*K37)/(1-$N$30-$N$31)/(1-$I$30)</f>
        <v>0</v>
      </c>
      <c r="I37" s="163"/>
      <c r="J37" s="176">
        <f t="shared" si="6"/>
        <v>0</v>
      </c>
      <c r="K37" s="171">
        <f>N24</f>
        <v>4.4630000000000003E-2</v>
      </c>
      <c r="O37" s="46"/>
      <c r="P37" s="25"/>
      <c r="S37" s="41"/>
      <c r="T37" s="25"/>
      <c r="U37" s="25"/>
    </row>
    <row r="38" spans="2:22" x14ac:dyDescent="0.3">
      <c r="B38" s="163" t="s">
        <v>270</v>
      </c>
      <c r="C38" s="164" t="s">
        <v>262</v>
      </c>
      <c r="D38" s="184">
        <f t="shared" ref="D38" si="9">IF($I$24=M25,(($D$30+$D$31+$D$32)*($I$26)/($I$26+$J$26)),0)+IF($J$24=M25,(($D$30+$D$31+$D$32)*($J$26)/($I$26+$J$26)),0)</f>
        <v>0</v>
      </c>
      <c r="E38" s="171">
        <f>K38/(1-$N$30-$N$31)/(1-$I$30)</f>
        <v>5.6676902289172847E-2</v>
      </c>
      <c r="F38" s="169">
        <f t="shared" si="5"/>
        <v>0</v>
      </c>
      <c r="G38" s="169">
        <f>((D38*K38)/(1-$N$30-$N$31))*($N$30+$N$31)</f>
        <v>0</v>
      </c>
      <c r="H38" s="176">
        <f>(D38*K38)/(1-$N$30-$N$31)/(1-$I$30)</f>
        <v>0</v>
      </c>
      <c r="I38" s="163"/>
      <c r="J38" s="176">
        <f t="shared" si="6"/>
        <v>0</v>
      </c>
      <c r="K38" s="171">
        <f>N24</f>
        <v>4.4630000000000003E-2</v>
      </c>
      <c r="O38" s="46"/>
      <c r="P38" s="41"/>
      <c r="S38" s="41"/>
      <c r="T38" s="25"/>
      <c r="U38" s="25"/>
    </row>
    <row r="39" spans="2:22" x14ac:dyDescent="0.3">
      <c r="B39" s="163" t="s">
        <v>285</v>
      </c>
      <c r="C39" s="164" t="s">
        <v>262</v>
      </c>
      <c r="D39" s="184">
        <f>IF($I$24=M26,(($D$30+$D$31+$D$32)*($I$26)/($I$26+$J$26)),0)+IF($J$24=M26,(($D$30+$D$31+$D$32)*($J$26)/($I$26+$J$26)),0)</f>
        <v>0</v>
      </c>
      <c r="E39" s="171">
        <f>K39/(1-$N$30-$N$31)/(1-$I$30)</f>
        <v>0.18032982579122883</v>
      </c>
      <c r="F39" s="169">
        <f t="shared" si="5"/>
        <v>0</v>
      </c>
      <c r="G39" s="169">
        <f>((D39*K39)/(1-$N$30-$N$31))*($N$30+$N$31)</f>
        <v>0</v>
      </c>
      <c r="H39" s="176">
        <f>(D39*K39)/(1-$N$30-$N$31)/(1-$I$30)</f>
        <v>0</v>
      </c>
      <c r="I39" s="163"/>
      <c r="J39" s="176">
        <f t="shared" si="6"/>
        <v>0</v>
      </c>
      <c r="K39" s="171">
        <f>N26</f>
        <v>0.14199999999999999</v>
      </c>
      <c r="O39" s="46"/>
      <c r="P39" s="25"/>
      <c r="S39" s="25"/>
      <c r="T39" s="25"/>
      <c r="U39" s="25"/>
    </row>
    <row r="40" spans="2:22" x14ac:dyDescent="0.3">
      <c r="B40" s="343" t="s">
        <v>306</v>
      </c>
      <c r="C40" s="343"/>
      <c r="D40" s="344"/>
      <c r="E40" s="343"/>
      <c r="F40" s="345"/>
      <c r="G40" s="163"/>
      <c r="H40" s="163"/>
      <c r="I40" s="163"/>
      <c r="J40" s="163"/>
      <c r="K40" s="163"/>
      <c r="O40" s="46"/>
      <c r="P40" s="25"/>
      <c r="S40" s="25"/>
      <c r="T40" s="25"/>
      <c r="U40" s="25"/>
    </row>
    <row r="41" spans="2:22" x14ac:dyDescent="0.3">
      <c r="B41" s="343" t="s">
        <v>307</v>
      </c>
      <c r="C41" s="343"/>
      <c r="D41" s="344"/>
      <c r="E41" s="343"/>
      <c r="F41" s="345"/>
      <c r="G41" s="163"/>
      <c r="H41" s="163"/>
      <c r="I41" s="163"/>
      <c r="J41" s="163"/>
      <c r="K41" s="163"/>
      <c r="O41" s="46"/>
      <c r="P41" s="25"/>
      <c r="S41" s="25"/>
      <c r="T41" s="25"/>
      <c r="U41" s="25"/>
    </row>
    <row r="42" spans="2:22" x14ac:dyDescent="0.3">
      <c r="B42" s="343" t="s">
        <v>308</v>
      </c>
      <c r="C42" s="343"/>
      <c r="D42" s="344"/>
      <c r="E42" s="343"/>
      <c r="F42" s="345"/>
      <c r="G42" s="163"/>
      <c r="H42" s="163"/>
      <c r="I42" s="163"/>
      <c r="J42" s="163"/>
      <c r="K42" s="163"/>
      <c r="O42" s="46"/>
      <c r="P42" s="25"/>
      <c r="Q42" s="25"/>
      <c r="R42" s="140"/>
      <c r="S42" s="25"/>
      <c r="T42" s="25"/>
      <c r="U42" s="25"/>
    </row>
    <row r="43" spans="2:22" x14ac:dyDescent="0.3">
      <c r="B43" s="343" t="s">
        <v>309</v>
      </c>
      <c r="C43" s="343"/>
      <c r="D43" s="344"/>
      <c r="E43" s="343"/>
      <c r="F43" s="345"/>
      <c r="G43" s="163"/>
      <c r="H43" s="163"/>
      <c r="I43" s="163"/>
      <c r="J43" s="163"/>
      <c r="K43" s="163"/>
      <c r="O43" s="46"/>
      <c r="R43" s="187"/>
    </row>
    <row r="44" spans="2:22" x14ac:dyDescent="0.3">
      <c r="B44" s="343" t="s">
        <v>272</v>
      </c>
      <c r="C44" s="343"/>
      <c r="D44" s="344"/>
      <c r="E44" s="343"/>
      <c r="F44" s="345"/>
      <c r="G44" s="163"/>
      <c r="H44" s="163"/>
      <c r="I44" s="163"/>
      <c r="J44" s="163"/>
      <c r="K44" s="163"/>
      <c r="O44" s="46"/>
    </row>
    <row r="45" spans="2:22" x14ac:dyDescent="0.3">
      <c r="B45" s="163"/>
      <c r="C45" s="163"/>
      <c r="D45" s="184"/>
      <c r="E45" s="163"/>
      <c r="F45" s="163"/>
      <c r="G45" s="163"/>
      <c r="H45" s="163"/>
      <c r="I45" s="163"/>
      <c r="J45" s="163"/>
      <c r="K45" s="163"/>
      <c r="O45" s="46"/>
    </row>
    <row r="46" spans="2:22" x14ac:dyDescent="0.3">
      <c r="B46" s="163"/>
      <c r="C46" s="163"/>
      <c r="D46" s="184"/>
      <c r="E46" s="163"/>
      <c r="F46" s="163"/>
      <c r="G46" s="163"/>
      <c r="H46" s="163"/>
      <c r="I46" s="163"/>
      <c r="J46" s="163"/>
      <c r="K46" s="163"/>
      <c r="O46" s="46"/>
    </row>
    <row r="47" spans="2:22" ht="15.6" x14ac:dyDescent="0.3">
      <c r="B47" s="170" t="s">
        <v>177</v>
      </c>
      <c r="C47" s="166"/>
      <c r="D47" s="185"/>
      <c r="E47" s="166"/>
      <c r="F47" s="172">
        <f>SUM(F30:F46)</f>
        <v>613.54000000000008</v>
      </c>
      <c r="G47" s="175">
        <f>SUM(G30:G46)</f>
        <v>19.972170827866289</v>
      </c>
      <c r="H47" s="177">
        <f>SUM(H30:H46)</f>
        <v>613.5089644276452</v>
      </c>
      <c r="I47" s="166"/>
      <c r="J47" s="177">
        <f>SUM(J30:J46)</f>
        <v>110.43161359697615</v>
      </c>
      <c r="K47" s="166"/>
      <c r="L47" s="53"/>
      <c r="M47" s="53"/>
      <c r="N47" s="53"/>
      <c r="O47" s="248">
        <f>F47</f>
        <v>613.54000000000008</v>
      </c>
    </row>
    <row r="49" spans="2:20" x14ac:dyDescent="0.3">
      <c r="B49" s="251" t="s">
        <v>273</v>
      </c>
      <c r="C49" s="264">
        <f>D30+D31+D32</f>
        <v>657</v>
      </c>
      <c r="D49" s="265">
        <f>IF(AND($B$26&lt;$F$2,$E$26&lt;$F$2),C9,IF($B$26&lt;$F$2,I9,F9))</f>
        <v>1.2448550414992767E-4</v>
      </c>
      <c r="E49" s="265">
        <f>IF(AND($B$26&lt;$F$2,$E$26&lt;$F$2),D9,IF($B$26&lt;$F$2,J9,G9))</f>
        <v>-1.27319E-3</v>
      </c>
      <c r="F49" s="251">
        <f>C49*(I9+J9)</f>
        <v>-0.75469885377349755</v>
      </c>
    </row>
    <row r="51" spans="2:20" x14ac:dyDescent="0.3">
      <c r="B51" s="784" t="s">
        <v>310</v>
      </c>
      <c r="C51" s="785"/>
      <c r="D51" s="785"/>
      <c r="E51" s="785"/>
      <c r="F51" s="785"/>
      <c r="G51" s="785"/>
      <c r="H51" s="786"/>
      <c r="I51" s="25"/>
      <c r="J51" s="129"/>
      <c r="K51" s="25"/>
      <c r="M51" s="25"/>
      <c r="N51" s="25"/>
      <c r="O51" s="25"/>
    </row>
    <row r="52" spans="2:20" x14ac:dyDescent="0.3">
      <c r="B52" s="38"/>
      <c r="D52" s="26" t="s">
        <v>275</v>
      </c>
      <c r="E52" s="26" t="s">
        <v>6</v>
      </c>
      <c r="F52" s="26" t="s">
        <v>7</v>
      </c>
      <c r="G52" s="26" t="s">
        <v>218</v>
      </c>
      <c r="H52" s="95" t="s">
        <v>170</v>
      </c>
      <c r="I52" s="25"/>
      <c r="J52" s="129"/>
      <c r="K52" s="25"/>
      <c r="M52" s="25"/>
      <c r="N52" s="25"/>
      <c r="O52" s="25"/>
    </row>
    <row r="53" spans="2:20" x14ac:dyDescent="0.3">
      <c r="B53" s="112" t="s">
        <v>291</v>
      </c>
      <c r="C53" s="113"/>
      <c r="D53" s="114"/>
      <c r="E53" s="114"/>
      <c r="F53" s="114"/>
      <c r="G53" s="114"/>
      <c r="H53" s="115">
        <f>SUM(H55:H63)+SUM(H69:H71)</f>
        <v>613.51508547887727</v>
      </c>
      <c r="I53" s="25"/>
      <c r="J53" s="454" t="s">
        <v>230</v>
      </c>
      <c r="K53" s="454" t="s">
        <v>279</v>
      </c>
      <c r="L53" s="25"/>
      <c r="M53" s="25"/>
      <c r="N53" s="25"/>
      <c r="O53" s="25"/>
    </row>
    <row r="54" spans="2:20" x14ac:dyDescent="0.3">
      <c r="B54" s="38"/>
      <c r="D54" s="26"/>
      <c r="E54" s="26"/>
      <c r="F54" s="26"/>
      <c r="G54" s="26"/>
      <c r="H54" s="39"/>
      <c r="I54" s="25"/>
      <c r="J54" s="472">
        <f>SUM(H55:H63)</f>
        <v>483.11</v>
      </c>
      <c r="K54" s="472">
        <f>SUM(H69:H71)</f>
        <v>130.40508547887725</v>
      </c>
      <c r="L54"/>
      <c r="M54" s="25"/>
      <c r="N54" s="25"/>
      <c r="O54" s="25"/>
    </row>
    <row r="55" spans="2:20" x14ac:dyDescent="0.3">
      <c r="B55" s="38" t="s">
        <v>311</v>
      </c>
      <c r="D55" s="123">
        <f>D30</f>
        <v>57</v>
      </c>
      <c r="E55" s="41">
        <f t="shared" ref="E55:F57" si="10">IF(AND($B$26&lt;$F$2,$E$26&lt;$F$2),C6,IF($B$26&lt;$F$2,I6,F6))</f>
        <v>0.86563000000000001</v>
      </c>
      <c r="F55" s="43">
        <f t="shared" si="10"/>
        <v>0.49484</v>
      </c>
      <c r="G55" s="41">
        <f>E55+F55</f>
        <v>1.3604700000000001</v>
      </c>
      <c r="H55" s="42">
        <f>ROUND((D55*E55),2)+ROUND((D55*F55),2)</f>
        <v>77.550000000000011</v>
      </c>
      <c r="I55" s="25"/>
      <c r="J55"/>
      <c r="K55"/>
      <c r="L55"/>
      <c r="M55" s="25"/>
      <c r="N55" s="25"/>
      <c r="O55" s="25"/>
      <c r="T55" s="157"/>
    </row>
    <row r="56" spans="2:20" x14ac:dyDescent="0.3">
      <c r="B56" s="38" t="s">
        <v>312</v>
      </c>
      <c r="D56" s="123">
        <f>D31</f>
        <v>39</v>
      </c>
      <c r="E56" s="41">
        <f t="shared" si="10"/>
        <v>0.5998</v>
      </c>
      <c r="F56" s="43">
        <f t="shared" si="10"/>
        <v>0.31504000000000004</v>
      </c>
      <c r="G56" s="41">
        <f t="shared" ref="G56:G57" si="11">E56+F56</f>
        <v>0.9148400000000001</v>
      </c>
      <c r="H56" s="42">
        <f t="shared" ref="H56:H57" si="12">ROUND((D56*E56),2)+ROUND((D56*F56),2)</f>
        <v>35.68</v>
      </c>
      <c r="I56" s="25"/>
      <c r="J56" s="25"/>
      <c r="K56" s="25"/>
      <c r="L56" s="213"/>
      <c r="M56" s="25"/>
      <c r="N56" s="25"/>
      <c r="O56" s="25"/>
      <c r="T56" s="157"/>
    </row>
    <row r="57" spans="2:20" x14ac:dyDescent="0.3">
      <c r="B57" s="38" t="s">
        <v>313</v>
      </c>
      <c r="D57" s="123">
        <f>D32</f>
        <v>561</v>
      </c>
      <c r="E57" s="41">
        <f t="shared" si="10"/>
        <v>0.33398</v>
      </c>
      <c r="F57" s="43">
        <f t="shared" si="10"/>
        <v>0.31504000000000004</v>
      </c>
      <c r="G57" s="41">
        <f t="shared" si="11"/>
        <v>0.64902000000000004</v>
      </c>
      <c r="H57" s="42">
        <f t="shared" si="12"/>
        <v>364.1</v>
      </c>
      <c r="I57" s="25"/>
      <c r="J57" s="25"/>
      <c r="K57" s="25"/>
      <c r="L57" s="213"/>
      <c r="M57" s="25"/>
      <c r="N57" s="25"/>
      <c r="O57" s="25"/>
      <c r="T57" s="157"/>
    </row>
    <row r="58" spans="2:20" x14ac:dyDescent="0.3">
      <c r="B58" s="38"/>
      <c r="D58" s="40"/>
      <c r="E58" s="43"/>
      <c r="F58" s="44"/>
      <c r="G58" s="44"/>
      <c r="H58" s="42"/>
      <c r="I58" s="25"/>
      <c r="J58" s="25"/>
      <c r="K58" s="25"/>
      <c r="L58" s="25"/>
      <c r="M58" s="25"/>
      <c r="N58" s="25"/>
      <c r="O58" s="25"/>
      <c r="T58" s="157"/>
    </row>
    <row r="59" spans="2:20" x14ac:dyDescent="0.3">
      <c r="B59" s="38"/>
      <c r="D59" s="45"/>
      <c r="H59" s="46"/>
      <c r="I59" s="25"/>
      <c r="J59" s="25"/>
      <c r="K59" s="25"/>
      <c r="L59" s="25"/>
      <c r="M59" s="25"/>
      <c r="N59" s="25"/>
      <c r="O59" s="25"/>
    </row>
    <row r="60" spans="2:20" x14ac:dyDescent="0.3">
      <c r="B60" s="38" t="s">
        <v>268</v>
      </c>
      <c r="D60" s="47">
        <f>IF($I$24=M23,((D55+D56+D57)*(I26)/(I26+J26)),0)+IF($J$24=M23,((D55+D56+D57)*(J26)/(I26+J26)),0)</f>
        <v>306.60000000000002</v>
      </c>
      <c r="F60" s="48">
        <f>N23</f>
        <v>1.8849999999999999E-2</v>
      </c>
      <c r="G60" s="48"/>
      <c r="H60" s="42">
        <f>ROUND(D60*(E60+F60),2)</f>
        <v>5.78</v>
      </c>
      <c r="I60" s="25"/>
      <c r="J60" s="25"/>
      <c r="K60" s="25"/>
      <c r="L60" s="25"/>
      <c r="M60" s="25"/>
      <c r="N60" s="25"/>
      <c r="O60" s="25"/>
    </row>
    <row r="61" spans="2:20" x14ac:dyDescent="0.3">
      <c r="B61" s="38" t="s">
        <v>269</v>
      </c>
      <c r="D61" s="47">
        <f>IF($I$24=M24,((D55+D56+D57)*(I26)/(I26+J26)),0)+IF($J$24=M24,((D55+D56+D57)*(J26)/(I26+J26)),0)</f>
        <v>0</v>
      </c>
      <c r="F61" s="48">
        <f>N24</f>
        <v>4.4630000000000003E-2</v>
      </c>
      <c r="G61" s="48"/>
      <c r="H61" s="42">
        <f>ROUND(D61*(E61+F61),2)</f>
        <v>0</v>
      </c>
      <c r="I61" s="25"/>
      <c r="J61" s="25"/>
      <c r="K61" s="25"/>
      <c r="L61" s="25"/>
      <c r="M61" s="25"/>
      <c r="N61" s="25"/>
      <c r="O61" s="25"/>
    </row>
    <row r="62" spans="2:20" x14ac:dyDescent="0.3">
      <c r="B62" s="38" t="s">
        <v>270</v>
      </c>
      <c r="D62" s="47">
        <f>IF($I$24=M25,((D55+D56+D57)*(I26)/(I26+J26)),0)+IF($J$24=M25,((D55+D56+D57)*(J26)/(I26+J26)),0)</f>
        <v>0</v>
      </c>
      <c r="F62" s="48">
        <f>N25</f>
        <v>7.8770000000000007E-2</v>
      </c>
      <c r="G62" s="48"/>
      <c r="H62" s="42">
        <f>ROUND(D62*(E62+F62),2)</f>
        <v>0</v>
      </c>
      <c r="I62" s="25"/>
      <c r="J62" s="25"/>
      <c r="K62" s="25"/>
      <c r="L62" s="25"/>
      <c r="M62" s="25"/>
      <c r="N62" s="25"/>
      <c r="O62" s="25"/>
    </row>
    <row r="63" spans="2:20" x14ac:dyDescent="0.3">
      <c r="B63" s="38" t="s">
        <v>280</v>
      </c>
      <c r="D63" s="47">
        <f>IF($I$24=M26,((D55+D56+D57)*(I26)/(I26+J26)),0)+IF($J$24=M26,((D55+D56+D57)*(J26)/(I26+J26)),0)</f>
        <v>0</v>
      </c>
      <c r="F63" s="48">
        <f>N26</f>
        <v>0.14199999999999999</v>
      </c>
      <c r="G63" s="48"/>
      <c r="H63" s="42">
        <f>ROUND(D63*(E63+F63),2)</f>
        <v>0</v>
      </c>
      <c r="I63" s="25"/>
      <c r="J63" s="25"/>
      <c r="K63" s="25"/>
      <c r="L63" s="25"/>
      <c r="M63" s="25"/>
      <c r="N63" s="25"/>
      <c r="O63" s="25"/>
    </row>
    <row r="64" spans="2:20" x14ac:dyDescent="0.3">
      <c r="B64" s="38"/>
      <c r="D64" s="45"/>
      <c r="H64" s="42"/>
      <c r="I64" s="25"/>
      <c r="J64" s="25"/>
      <c r="K64" s="25"/>
      <c r="L64" s="25"/>
      <c r="M64" s="25"/>
      <c r="N64" s="25"/>
      <c r="O64" s="25"/>
    </row>
    <row r="65" spans="2:15" x14ac:dyDescent="0.3">
      <c r="B65" s="50"/>
      <c r="C65" s="30"/>
      <c r="D65" s="30"/>
      <c r="E65" s="30"/>
      <c r="F65" s="30"/>
      <c r="G65" s="30"/>
      <c r="H65" s="51"/>
      <c r="I65" s="25"/>
      <c r="J65" s="25"/>
      <c r="K65" s="25"/>
      <c r="L65" s="25"/>
      <c r="M65" s="25"/>
      <c r="N65" s="25"/>
      <c r="O65" s="25"/>
    </row>
    <row r="66" spans="2:15" x14ac:dyDescent="0.3">
      <c r="B66" s="52"/>
      <c r="C66" s="53"/>
      <c r="D66" s="54"/>
      <c r="E66" s="55"/>
      <c r="F66" s="53"/>
      <c r="G66" s="53"/>
      <c r="H66" s="56"/>
      <c r="I66" s="25"/>
      <c r="J66" s="25"/>
      <c r="K66" s="25"/>
      <c r="L66" s="25"/>
      <c r="M66" s="25"/>
      <c r="N66" s="25"/>
      <c r="O66" s="25"/>
    </row>
    <row r="67" spans="2:15" x14ac:dyDescent="0.3">
      <c r="B67" s="57"/>
      <c r="C67" s="58"/>
      <c r="D67" s="58"/>
      <c r="E67" s="58"/>
      <c r="F67" s="58"/>
      <c r="G67" s="58"/>
      <c r="H67" s="59"/>
      <c r="I67" s="25"/>
      <c r="L67" s="25"/>
      <c r="M67" s="25"/>
      <c r="N67" s="25"/>
      <c r="O67" s="25"/>
    </row>
    <row r="68" spans="2:15" x14ac:dyDescent="0.3">
      <c r="B68" s="38"/>
      <c r="D68" s="23" t="s">
        <v>314</v>
      </c>
      <c r="E68" s="37"/>
      <c r="F68" s="37"/>
      <c r="G68" s="37"/>
      <c r="H68" s="60"/>
      <c r="I68" s="61"/>
      <c r="K68" s="62"/>
      <c r="L68" s="25"/>
      <c r="M68" s="25"/>
      <c r="N68" s="25"/>
      <c r="O68" s="25"/>
    </row>
    <row r="69" spans="2:15" x14ac:dyDescent="0.3">
      <c r="B69" s="38" t="s">
        <v>282</v>
      </c>
      <c r="D69" s="62">
        <f>(SUM(H55:H63)/(1-E69-E70))</f>
        <v>503.08237009267935</v>
      </c>
      <c r="E69" s="215">
        <f>N30</f>
        <v>7.1000000000000004E-3</v>
      </c>
      <c r="H69" s="42">
        <f>D69*E69</f>
        <v>3.5718848276580237</v>
      </c>
      <c r="I69" s="62"/>
      <c r="L69" s="25"/>
      <c r="M69" s="25"/>
      <c r="N69" s="25"/>
      <c r="O69" s="25"/>
    </row>
    <row r="70" spans="2:15" x14ac:dyDescent="0.3">
      <c r="B70" s="38" t="s">
        <v>265</v>
      </c>
      <c r="D70" s="62">
        <f>D69</f>
        <v>503.08237009267935</v>
      </c>
      <c r="E70" s="215">
        <f>N31</f>
        <v>3.2599999999999997E-2</v>
      </c>
      <c r="H70" s="42">
        <f>D70*E70</f>
        <v>16.400485265021345</v>
      </c>
      <c r="I70" s="62"/>
      <c r="L70" s="25"/>
      <c r="M70" s="25"/>
      <c r="N70" s="25"/>
      <c r="O70" s="25"/>
    </row>
    <row r="71" spans="2:15" x14ac:dyDescent="0.3">
      <c r="B71" s="38" t="s">
        <v>283</v>
      </c>
      <c r="D71" s="132">
        <f>D69/(1-E71)</f>
        <v>613.51508547887727</v>
      </c>
      <c r="E71" s="76">
        <f>I30</f>
        <v>0.18</v>
      </c>
      <c r="H71" s="42">
        <f>D71*E71</f>
        <v>110.4327153861979</v>
      </c>
      <c r="I71" s="62"/>
      <c r="L71" s="25"/>
      <c r="M71" s="25"/>
      <c r="N71" s="25"/>
      <c r="O71" s="25"/>
    </row>
    <row r="72" spans="2:15" x14ac:dyDescent="0.3">
      <c r="B72" s="52"/>
      <c r="C72" s="53"/>
      <c r="D72" s="53"/>
      <c r="E72" s="53"/>
      <c r="F72" s="53"/>
      <c r="G72" s="53"/>
      <c r="H72" s="63"/>
      <c r="L72" s="25"/>
      <c r="M72" s="25"/>
      <c r="N72" s="25"/>
      <c r="O72" s="25"/>
    </row>
    <row r="73" spans="2:15" x14ac:dyDescent="0.3">
      <c r="B73" s="145" t="s">
        <v>315</v>
      </c>
      <c r="C73" s="146"/>
      <c r="D73" s="147">
        <f>SUM(D55:D57)</f>
        <v>657</v>
      </c>
      <c r="E73" s="148">
        <f>IF(AND($B$26&lt;$F$2,$E$26&lt;$F$2),C9,IF($B$26&lt;$F$2,I9,F9))</f>
        <v>1.2448550414992767E-4</v>
      </c>
      <c r="F73" s="148">
        <f>IF(AND($B$26&lt;$F$2,$E$26&lt;$F$2),D9,IF($B$26&lt;$F$2,J9,G9))</f>
        <v>-1.27319E-3</v>
      </c>
      <c r="G73" s="146"/>
      <c r="H73" s="145">
        <f>D73*(E73+F73)</f>
        <v>-0.75469885377349755</v>
      </c>
      <c r="L73" s="25"/>
      <c r="M73" s="25"/>
      <c r="N73" s="25"/>
      <c r="O73" s="25"/>
    </row>
    <row r="74" spans="2:15" x14ac:dyDescent="0.3">
      <c r="L74" s="25"/>
      <c r="M74" s="25"/>
      <c r="N74" s="25"/>
      <c r="O74" s="25"/>
    </row>
    <row r="75" spans="2:15" x14ac:dyDescent="0.3">
      <c r="B75" s="64"/>
      <c r="D75" s="37"/>
      <c r="E75" s="37" t="s">
        <v>210</v>
      </c>
      <c r="F75" s="37"/>
      <c r="G75" s="37"/>
      <c r="H75" s="61"/>
    </row>
    <row r="76" spans="2:15" x14ac:dyDescent="0.3">
      <c r="B76" s="35">
        <v>2025</v>
      </c>
      <c r="D76" s="29" t="s">
        <v>190</v>
      </c>
      <c r="E76" s="29" t="s">
        <v>191</v>
      </c>
      <c r="F76" s="29" t="s">
        <v>192</v>
      </c>
      <c r="G76" s="29" t="s">
        <v>193</v>
      </c>
    </row>
    <row r="77" spans="2:15" x14ac:dyDescent="0.3">
      <c r="B77" s="27" t="s">
        <v>194</v>
      </c>
      <c r="D77" s="29" t="s">
        <v>195</v>
      </c>
      <c r="E77" s="29" t="s">
        <v>195</v>
      </c>
      <c r="F77" s="29" t="s">
        <v>195</v>
      </c>
      <c r="G77" s="29" t="s">
        <v>195</v>
      </c>
    </row>
    <row r="79" spans="2:15" x14ac:dyDescent="0.3">
      <c r="B79" s="27" t="s">
        <v>196</v>
      </c>
      <c r="D79" s="173">
        <v>0.39769197799808981</v>
      </c>
      <c r="E79" s="173">
        <v>8.512776690845017E-2</v>
      </c>
      <c r="F79" s="173">
        <v>0.25265748787228293</v>
      </c>
      <c r="G79" s="173">
        <v>0.26452276722117707</v>
      </c>
    </row>
    <row r="80" spans="2:15" x14ac:dyDescent="0.3">
      <c r="B80" s="27" t="s">
        <v>197</v>
      </c>
      <c r="D80" s="173">
        <v>0.51666134768573579</v>
      </c>
      <c r="E80" s="173">
        <v>0.11059369866547396</v>
      </c>
      <c r="F80" s="173">
        <v>0.32823985750000007</v>
      </c>
      <c r="G80" s="173">
        <v>4.4505096148790169E-2</v>
      </c>
    </row>
    <row r="81" spans="2:10" x14ac:dyDescent="0.3">
      <c r="B81" s="27" t="s">
        <v>198</v>
      </c>
      <c r="D81" s="173">
        <v>0.39769197799808981</v>
      </c>
      <c r="E81" s="173">
        <v>8.512776690845017E-2</v>
      </c>
      <c r="F81" s="173">
        <v>0.25265748787228293</v>
      </c>
      <c r="G81" s="173">
        <v>0.26452276722117707</v>
      </c>
    </row>
    <row r="82" spans="2:10" x14ac:dyDescent="0.3">
      <c r="B82" s="27" t="s">
        <v>199</v>
      </c>
      <c r="D82" s="173">
        <v>0.39769197799808981</v>
      </c>
      <c r="E82" s="173">
        <v>8.512776690845017E-2</v>
      </c>
      <c r="F82" s="173">
        <v>0.25265748787228293</v>
      </c>
      <c r="G82" s="173">
        <v>0.26452276722117707</v>
      </c>
    </row>
    <row r="83" spans="2:10" x14ac:dyDescent="0.3">
      <c r="B83" s="27" t="s">
        <v>200</v>
      </c>
      <c r="D83" s="173">
        <v>0.39769197799808981</v>
      </c>
      <c r="E83" s="173">
        <v>8.512776690845017E-2</v>
      </c>
      <c r="F83" s="173">
        <v>0.25265748787228293</v>
      </c>
      <c r="G83" s="173">
        <v>0.26452276722117707</v>
      </c>
    </row>
    <row r="84" spans="2:10" x14ac:dyDescent="0.3">
      <c r="B84" s="35" t="s">
        <v>201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">
      <c r="B85" s="35" t="s">
        <v>202</v>
      </c>
      <c r="C85" s="35"/>
      <c r="D85" s="71">
        <v>0.39769197799808981</v>
      </c>
      <c r="E85" s="71">
        <v>8.512776690845017E-2</v>
      </c>
      <c r="F85" s="71">
        <v>0.25265748787228293</v>
      </c>
      <c r="G85" s="71">
        <v>0.26452276722117707</v>
      </c>
    </row>
    <row r="86" spans="2:10" x14ac:dyDescent="0.3">
      <c r="B86" s="35" t="s">
        <v>203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">
      <c r="B87" s="35" t="s">
        <v>204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</row>
    <row r="88" spans="2:10" x14ac:dyDescent="0.3">
      <c r="B88" s="35"/>
      <c r="C88" s="35"/>
      <c r="D88" s="71"/>
      <c r="E88" s="71"/>
      <c r="F88" s="71"/>
      <c r="G88" s="71"/>
    </row>
    <row r="89" spans="2:10" x14ac:dyDescent="0.3">
      <c r="B89" s="35"/>
      <c r="C89" s="35"/>
      <c r="D89" s="71"/>
      <c r="E89" s="71"/>
      <c r="F89" s="71"/>
      <c r="G89" s="71"/>
    </row>
    <row r="90" spans="2:10" x14ac:dyDescent="0.3">
      <c r="B90" s="35">
        <v>2024</v>
      </c>
      <c r="C90" s="35"/>
      <c r="D90" s="306" t="s">
        <v>190</v>
      </c>
      <c r="E90" s="306" t="s">
        <v>191</v>
      </c>
      <c r="F90" s="306" t="s">
        <v>192</v>
      </c>
      <c r="G90" s="306" t="s">
        <v>193</v>
      </c>
    </row>
    <row r="91" spans="2:10" x14ac:dyDescent="0.3">
      <c r="B91" s="35" t="s">
        <v>194</v>
      </c>
      <c r="C91" s="35"/>
      <c r="D91" s="306" t="s">
        <v>195</v>
      </c>
      <c r="E91" s="306" t="s">
        <v>195</v>
      </c>
      <c r="F91" s="306" t="s">
        <v>195</v>
      </c>
      <c r="G91" s="306" t="s">
        <v>195</v>
      </c>
    </row>
    <row r="92" spans="2:10" x14ac:dyDescent="0.3">
      <c r="B92" s="35"/>
      <c r="C92" s="35"/>
      <c r="D92" s="71"/>
      <c r="E92" s="71"/>
      <c r="F92" s="71"/>
      <c r="G92" s="71"/>
    </row>
    <row r="93" spans="2:10" x14ac:dyDescent="0.3">
      <c r="B93" s="35" t="s">
        <v>196</v>
      </c>
      <c r="C93" s="35"/>
      <c r="D93" s="71">
        <v>0.41273682960000002</v>
      </c>
      <c r="E93" s="71">
        <v>9.8534926200000011E-2</v>
      </c>
      <c r="F93" s="71">
        <v>0.2916348184</v>
      </c>
      <c r="G93" s="71">
        <v>0.19709700829999999</v>
      </c>
    </row>
    <row r="94" spans="2:10" x14ac:dyDescent="0.3">
      <c r="B94" s="35" t="s">
        <v>197</v>
      </c>
      <c r="C94" s="35"/>
      <c r="D94" s="71">
        <v>0.49306718250000003</v>
      </c>
      <c r="E94" s="71">
        <v>0.11771263169999999</v>
      </c>
      <c r="F94" s="71">
        <v>0.34839526770000001</v>
      </c>
      <c r="G94" s="71">
        <v>4.0810691699999999E-2</v>
      </c>
      <c r="J94" s="30"/>
    </row>
    <row r="95" spans="2:10" x14ac:dyDescent="0.3">
      <c r="B95" s="35" t="s">
        <v>198</v>
      </c>
      <c r="C95" s="35"/>
      <c r="D95" s="71">
        <v>0.41273682960000002</v>
      </c>
      <c r="E95" s="71">
        <v>9.8534926200000011E-2</v>
      </c>
      <c r="F95" s="71">
        <v>0.2916348184</v>
      </c>
      <c r="G95" s="71">
        <v>0.19709700829999999</v>
      </c>
    </row>
    <row r="96" spans="2:10" x14ac:dyDescent="0.3">
      <c r="B96" s="64" t="s">
        <v>199</v>
      </c>
      <c r="C96" s="64"/>
      <c r="D96" s="309">
        <v>0.41273682960000002</v>
      </c>
      <c r="E96" s="309">
        <v>9.8534926200000011E-2</v>
      </c>
      <c r="F96" s="309">
        <v>0.2916348184</v>
      </c>
      <c r="G96" s="309">
        <v>0.19709700829999999</v>
      </c>
    </row>
    <row r="97" spans="2:7" x14ac:dyDescent="0.3">
      <c r="B97" s="64" t="s">
        <v>200</v>
      </c>
      <c r="C97" s="64"/>
      <c r="D97" s="309">
        <v>0.41273682960000002</v>
      </c>
      <c r="E97" s="309">
        <v>9.8534926200000011E-2</v>
      </c>
      <c r="F97" s="309">
        <v>0.2916348184</v>
      </c>
      <c r="G97" s="309">
        <v>0.19709700829999999</v>
      </c>
    </row>
    <row r="98" spans="2:7" x14ac:dyDescent="0.3">
      <c r="B98" s="64" t="s">
        <v>201</v>
      </c>
      <c r="C98" s="35"/>
      <c r="D98" s="71">
        <v>0.41273682960000002</v>
      </c>
      <c r="E98" s="71">
        <v>9.8534926200000011E-2</v>
      </c>
      <c r="F98" s="71">
        <v>0.2916348184</v>
      </c>
      <c r="G98" s="71">
        <v>0.19709700829999999</v>
      </c>
    </row>
    <row r="99" spans="2:7" x14ac:dyDescent="0.3">
      <c r="B99" s="35" t="s">
        <v>202</v>
      </c>
      <c r="C99" s="35"/>
      <c r="D99" s="71">
        <v>0.41273480010000002</v>
      </c>
      <c r="E99" s="71">
        <v>9.8534441600000008E-2</v>
      </c>
      <c r="F99" s="71">
        <v>0.29163338430000002</v>
      </c>
      <c r="G99" s="71">
        <v>0.19709603919999999</v>
      </c>
    </row>
    <row r="100" spans="2:7" x14ac:dyDescent="0.3">
      <c r="B100" s="35" t="s">
        <v>203</v>
      </c>
      <c r="C100" s="35"/>
      <c r="D100" s="71">
        <v>0.41274125779999998</v>
      </c>
      <c r="E100" s="71">
        <v>9.8535983300000005E-2</v>
      </c>
      <c r="F100" s="71">
        <v>0.29163794719999997</v>
      </c>
      <c r="G100" s="71">
        <v>0.19709912289999998</v>
      </c>
    </row>
    <row r="101" spans="2:7" x14ac:dyDescent="0.3">
      <c r="B101" s="35" t="s">
        <v>204</v>
      </c>
      <c r="C101" s="35"/>
      <c r="D101" s="71">
        <v>0.41273480010000002</v>
      </c>
      <c r="E101" s="71">
        <v>9.8534441600000008E-2</v>
      </c>
      <c r="F101" s="71">
        <v>0.29163338430000002</v>
      </c>
      <c r="G101" s="71">
        <v>0.19709603919999999</v>
      </c>
    </row>
    <row r="102" spans="2:7" x14ac:dyDescent="0.3">
      <c r="B102" s="35"/>
      <c r="C102" s="35"/>
      <c r="D102" s="71"/>
      <c r="E102" s="71"/>
      <c r="F102" s="71"/>
      <c r="G102" s="71"/>
    </row>
    <row r="103" spans="2:7" x14ac:dyDescent="0.3">
      <c r="B103" s="35" t="s">
        <v>284</v>
      </c>
      <c r="C103" s="35"/>
      <c r="D103" s="71"/>
      <c r="E103" s="71"/>
      <c r="F103" s="71"/>
      <c r="G103" s="71"/>
    </row>
    <row r="104" spans="2:7" x14ac:dyDescent="0.3">
      <c r="B104" s="35"/>
      <c r="C104" s="35"/>
      <c r="D104" s="306" t="s">
        <v>190</v>
      </c>
      <c r="E104" s="306" t="s">
        <v>191</v>
      </c>
      <c r="F104" s="306" t="s">
        <v>192</v>
      </c>
      <c r="G104" s="306" t="s">
        <v>193</v>
      </c>
    </row>
    <row r="105" spans="2:7" x14ac:dyDescent="0.3">
      <c r="B105" s="35" t="s">
        <v>194</v>
      </c>
      <c r="C105" s="35"/>
      <c r="D105" s="306" t="s">
        <v>195</v>
      </c>
      <c r="E105" s="306" t="s">
        <v>195</v>
      </c>
      <c r="F105" s="306" t="s">
        <v>195</v>
      </c>
      <c r="G105" s="306" t="s">
        <v>195</v>
      </c>
    </row>
    <row r="106" spans="2:7" x14ac:dyDescent="0.3">
      <c r="B106" s="35"/>
      <c r="C106" s="35"/>
      <c r="D106" s="71"/>
      <c r="E106" s="71"/>
      <c r="F106" s="71"/>
      <c r="G106" s="71"/>
    </row>
    <row r="107" spans="2:7" x14ac:dyDescent="0.3">
      <c r="B107" s="35" t="s">
        <v>196</v>
      </c>
      <c r="C107" s="35"/>
      <c r="D107" s="71">
        <f t="shared" ref="D107:G115" si="13">((D93*$C$26)+(D79*$D$26))/($C$26+$D$26)</f>
        <v>0.39769197799808981</v>
      </c>
      <c r="E107" s="71">
        <f t="shared" si="13"/>
        <v>8.512776690845017E-2</v>
      </c>
      <c r="F107" s="71">
        <f t="shared" si="13"/>
        <v>0.25265748787228293</v>
      </c>
      <c r="G107" s="71">
        <f t="shared" si="13"/>
        <v>0.26452276722117707</v>
      </c>
    </row>
    <row r="108" spans="2:7" x14ac:dyDescent="0.3">
      <c r="B108" s="35" t="s">
        <v>197</v>
      </c>
      <c r="C108" s="35"/>
      <c r="D108" s="71">
        <f t="shared" si="13"/>
        <v>0.51666134768573579</v>
      </c>
      <c r="E108" s="71">
        <f t="shared" si="13"/>
        <v>0.11059369866547396</v>
      </c>
      <c r="F108" s="71">
        <f t="shared" si="13"/>
        <v>0.32823985750000007</v>
      </c>
      <c r="G108" s="71">
        <f t="shared" si="13"/>
        <v>4.4505096148790169E-2</v>
      </c>
    </row>
    <row r="109" spans="2:7" x14ac:dyDescent="0.3">
      <c r="B109" s="35" t="s">
        <v>198</v>
      </c>
      <c r="C109" s="35"/>
      <c r="D109" s="71">
        <f t="shared" si="13"/>
        <v>0.39769197799808981</v>
      </c>
      <c r="E109" s="71">
        <f t="shared" si="13"/>
        <v>8.512776690845017E-2</v>
      </c>
      <c r="F109" s="71">
        <f t="shared" si="13"/>
        <v>0.25265748787228293</v>
      </c>
      <c r="G109" s="71">
        <f t="shared" si="13"/>
        <v>0.26452276722117707</v>
      </c>
    </row>
    <row r="110" spans="2:7" x14ac:dyDescent="0.3">
      <c r="B110" s="64" t="s">
        <v>199</v>
      </c>
      <c r="C110" s="64"/>
      <c r="D110" s="309">
        <f t="shared" si="13"/>
        <v>0.39769197799808981</v>
      </c>
      <c r="E110" s="309">
        <f t="shared" si="13"/>
        <v>8.512776690845017E-2</v>
      </c>
      <c r="F110" s="309">
        <f t="shared" si="13"/>
        <v>0.25265748787228293</v>
      </c>
      <c r="G110" s="309">
        <f t="shared" si="13"/>
        <v>0.26452276722117707</v>
      </c>
    </row>
    <row r="111" spans="2:7" x14ac:dyDescent="0.3">
      <c r="B111" s="64" t="s">
        <v>200</v>
      </c>
      <c r="C111" s="64"/>
      <c r="D111" s="309">
        <f t="shared" si="13"/>
        <v>0.39769197799808981</v>
      </c>
      <c r="E111" s="309">
        <f t="shared" si="13"/>
        <v>8.512776690845017E-2</v>
      </c>
      <c r="F111" s="309">
        <f t="shared" si="13"/>
        <v>0.25265748787228293</v>
      </c>
      <c r="G111" s="309">
        <f t="shared" si="13"/>
        <v>0.26452276722117707</v>
      </c>
    </row>
    <row r="112" spans="2:7" x14ac:dyDescent="0.3">
      <c r="B112" s="35" t="s">
        <v>201</v>
      </c>
      <c r="C112" s="35"/>
      <c r="D112" s="71">
        <f t="shared" si="13"/>
        <v>0.39769197799808981</v>
      </c>
      <c r="E112" s="71">
        <f t="shared" si="13"/>
        <v>8.512776690845017E-2</v>
      </c>
      <c r="F112" s="71">
        <f t="shared" si="13"/>
        <v>0.25265748787228293</v>
      </c>
      <c r="G112" s="71">
        <f t="shared" si="13"/>
        <v>0.26452276722117707</v>
      </c>
    </row>
    <row r="113" spans="2:7" x14ac:dyDescent="0.3">
      <c r="B113" s="35" t="s">
        <v>202</v>
      </c>
      <c r="C113" s="35"/>
      <c r="D113" s="71">
        <f t="shared" si="13"/>
        <v>0.39769197799808981</v>
      </c>
      <c r="E113" s="71">
        <f t="shared" si="13"/>
        <v>8.512776690845017E-2</v>
      </c>
      <c r="F113" s="71">
        <f t="shared" si="13"/>
        <v>0.25265748787228293</v>
      </c>
      <c r="G113" s="71">
        <f t="shared" si="13"/>
        <v>0.26452276722117707</v>
      </c>
    </row>
    <row r="114" spans="2:7" x14ac:dyDescent="0.3">
      <c r="B114" s="35" t="s">
        <v>203</v>
      </c>
      <c r="C114" s="35"/>
      <c r="D114" s="71">
        <f t="shared" si="13"/>
        <v>0.39769197799808981</v>
      </c>
      <c r="E114" s="71">
        <f t="shared" si="13"/>
        <v>8.512776690845017E-2</v>
      </c>
      <c r="F114" s="71">
        <f t="shared" si="13"/>
        <v>0.25265748787228293</v>
      </c>
      <c r="G114" s="71">
        <f t="shared" si="13"/>
        <v>0.26452276722117707</v>
      </c>
    </row>
    <row r="115" spans="2:7" x14ac:dyDescent="0.3">
      <c r="B115" s="35" t="s">
        <v>204</v>
      </c>
      <c r="C115" s="35"/>
      <c r="D115" s="71">
        <f t="shared" si="13"/>
        <v>0.39769197799808981</v>
      </c>
      <c r="E115" s="71">
        <f t="shared" si="13"/>
        <v>8.512776690845017E-2</v>
      </c>
      <c r="F115" s="71">
        <f t="shared" si="13"/>
        <v>0.25265748787228293</v>
      </c>
      <c r="G115" s="71">
        <f t="shared" si="13"/>
        <v>0.26452276722117707</v>
      </c>
    </row>
    <row r="116" spans="2:7" x14ac:dyDescent="0.3">
      <c r="B116" s="35"/>
      <c r="C116" s="35"/>
      <c r="D116" s="71"/>
      <c r="E116" s="71"/>
      <c r="F116" s="71"/>
      <c r="G116" s="71"/>
    </row>
    <row r="117" spans="2:7" x14ac:dyDescent="0.3">
      <c r="B117" s="35"/>
      <c r="C117" s="35"/>
      <c r="D117" s="71"/>
      <c r="E117" s="71"/>
      <c r="F117" s="71"/>
      <c r="G117" s="71"/>
    </row>
    <row r="118" spans="2:7" x14ac:dyDescent="0.3">
      <c r="B118" s="35"/>
      <c r="C118" s="35"/>
      <c r="D118" s="71"/>
      <c r="E118" s="71"/>
      <c r="F118" s="71"/>
      <c r="G118" s="71"/>
    </row>
    <row r="119" spans="2:7" x14ac:dyDescent="0.3">
      <c r="B119" s="35"/>
      <c r="C119" s="35"/>
      <c r="D119" s="71"/>
      <c r="E119" s="71"/>
      <c r="F119" s="71"/>
      <c r="G119" s="71"/>
    </row>
    <row r="120" spans="2:7" x14ac:dyDescent="0.3">
      <c r="B120" s="35"/>
      <c r="C120" s="35"/>
      <c r="D120" s="71"/>
      <c r="E120" s="71"/>
      <c r="F120" s="71"/>
      <c r="G120" s="71"/>
    </row>
    <row r="121" spans="2:7" x14ac:dyDescent="0.3">
      <c r="B121" s="35"/>
      <c r="C121" s="35"/>
      <c r="D121" s="71"/>
      <c r="E121" s="71"/>
      <c r="F121" s="71"/>
      <c r="G121" s="71"/>
    </row>
    <row r="122" spans="2:7" x14ac:dyDescent="0.3">
      <c r="B122" s="35"/>
      <c r="C122" s="35"/>
      <c r="D122" s="71"/>
      <c r="E122" s="71"/>
      <c r="F122" s="71"/>
      <c r="G122" s="71"/>
    </row>
    <row r="123" spans="2:7" x14ac:dyDescent="0.3">
      <c r="B123" s="35"/>
      <c r="C123" s="35"/>
      <c r="D123" s="71"/>
      <c r="E123" s="71"/>
      <c r="F123" s="71"/>
      <c r="G123" s="71"/>
    </row>
  </sheetData>
  <mergeCells count="8">
    <mergeCell ref="I4:K4"/>
    <mergeCell ref="B12:C12"/>
    <mergeCell ref="H12:I12"/>
    <mergeCell ref="B51:H51"/>
    <mergeCell ref="H17:H18"/>
    <mergeCell ref="B4:B5"/>
    <mergeCell ref="C4:E4"/>
    <mergeCell ref="F4:H4"/>
  </mergeCells>
  <conditionalFormatting sqref="I24:J24">
    <cfRule type="cellIs" dxfId="181" priority="1" operator="equal">
      <formula>"Escassez Hídrica"</formula>
    </cfRule>
    <cfRule type="cellIs" dxfId="180" priority="2" operator="equal">
      <formula>"VERDE"</formula>
    </cfRule>
    <cfRule type="cellIs" dxfId="179" priority="3" operator="equal">
      <formula>"BVM2"</formula>
    </cfRule>
    <cfRule type="cellIs" dxfId="178" priority="4" operator="equal">
      <formula>"BVM1"</formula>
    </cfRule>
    <cfRule type="cellIs" dxfId="177" priority="5" operator="equal">
      <formula>"BAM"</formula>
    </cfRule>
  </conditionalFormatting>
  <conditionalFormatting sqref="M22">
    <cfRule type="cellIs" dxfId="176" priority="11" operator="equal">
      <formula>"VERDE"</formula>
    </cfRule>
    <cfRule type="cellIs" dxfId="175" priority="12" operator="equal">
      <formula>"BVM2"</formula>
    </cfRule>
    <cfRule type="cellIs" dxfId="174" priority="13" operator="equal">
      <formula>"BVM1"</formula>
    </cfRule>
    <cfRule type="cellIs" dxfId="173" priority="14" operator="equal">
      <formula>"BAM"</formula>
    </cfRule>
  </conditionalFormatting>
  <conditionalFormatting sqref="M26">
    <cfRule type="containsText" dxfId="172" priority="6" operator="containsText" text="Escassez Hídrica">
      <formula>NOT(ISERROR(SEARCH("Escassez Hídrica",M26)))</formula>
    </cfRule>
    <cfRule type="cellIs" dxfId="171" priority="7" operator="equal">
      <formula>"VERDE"</formula>
    </cfRule>
    <cfRule type="cellIs" dxfId="170" priority="8" operator="equal">
      <formula>"BVM2"</formula>
    </cfRule>
    <cfRule type="cellIs" dxfId="169" priority="9" operator="equal">
      <formula>"BVM1"</formula>
    </cfRule>
    <cfRule type="cellIs" dxfId="168" priority="10" operator="equal">
      <formula>"BAM"</formula>
    </cfRule>
  </conditionalFormatting>
  <dataValidations count="2">
    <dataValidation type="list" allowBlank="1" showInputMessage="1" showErrorMessage="1" sqref="I24:J24" xr:uid="{00000000-0002-0000-0900-000000000000}">
      <formula1>$M$22:$M$26</formula1>
    </dataValidation>
    <dataValidation type="list" allowBlank="1" showInputMessage="1" showErrorMessage="1" sqref="B14" xr:uid="{00000000-0002-0000-0900-000001000000}">
      <formula1>$V$3:$V$11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6">
    <tabColor rgb="FFFF0000"/>
  </sheetPr>
  <dimension ref="A1:Y120"/>
  <sheetViews>
    <sheetView showGridLines="0" topLeftCell="A27" zoomScale="120" zoomScaleNormal="120" workbookViewId="0">
      <selection activeCell="F38" sqref="F38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316</v>
      </c>
      <c r="E2" s="421" t="s">
        <v>211</v>
      </c>
      <c r="F2" s="452">
        <f>'B1CDE '!F2</f>
        <v>46023</v>
      </c>
      <c r="G2" s="25" t="s">
        <v>210</v>
      </c>
      <c r="J2" s="25"/>
      <c r="K2" s="25"/>
    </row>
    <row r="4" spans="1:20" ht="15" customHeight="1" x14ac:dyDescent="0.3">
      <c r="B4" s="767" t="s">
        <v>212</v>
      </c>
      <c r="C4" s="769" t="s">
        <v>213</v>
      </c>
      <c r="D4" s="769"/>
      <c r="E4" s="769"/>
      <c r="F4" s="769" t="s">
        <v>214</v>
      </c>
      <c r="G4" s="769"/>
      <c r="H4" s="769"/>
      <c r="I4" s="783" t="s">
        <v>215</v>
      </c>
      <c r="J4" s="783"/>
      <c r="K4" s="783"/>
    </row>
    <row r="5" spans="1:20" x14ac:dyDescent="0.3">
      <c r="B5" s="782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</row>
    <row r="6" spans="1:20" x14ac:dyDescent="0.3">
      <c r="B6" s="102" t="s">
        <v>21</v>
      </c>
      <c r="C6" s="234">
        <v>0.39694999999999997</v>
      </c>
      <c r="D6" s="234">
        <v>0.28093000000000001</v>
      </c>
      <c r="E6" s="234">
        <f t="shared" ref="E6:E7" si="0">C6+D6</f>
        <v>0.67788000000000004</v>
      </c>
      <c r="F6" s="252">
        <v>0.45667000000000002</v>
      </c>
      <c r="G6" s="252">
        <v>0.33002999999999999</v>
      </c>
      <c r="H6" s="234">
        <f t="shared" ref="H6:H7" si="1">F6+G6</f>
        <v>0.78669999999999995</v>
      </c>
      <c r="I6" s="234">
        <f>((C6*$C$26)+(F6*$D$26))/($D$26+$C$26)</f>
        <v>0.45667000000000002</v>
      </c>
      <c r="J6" s="234">
        <f>((D6*$C$26)+(G6*$D$26))/($D$26+$C$26)</f>
        <v>0.33002999999999999</v>
      </c>
      <c r="K6" s="234">
        <f t="shared" ref="K6:K7" si="2">I6+J6</f>
        <v>0.78669999999999995</v>
      </c>
    </row>
    <row r="7" spans="1:20" x14ac:dyDescent="0.3">
      <c r="A7" s="27" t="s">
        <v>210</v>
      </c>
      <c r="B7" s="250" t="s">
        <v>216</v>
      </c>
      <c r="C7" s="235">
        <v>1.1506162773328076E-4</v>
      </c>
      <c r="D7" s="235">
        <v>-2.0731505487585774E-3</v>
      </c>
      <c r="E7" s="234">
        <f t="shared" si="0"/>
        <v>-1.9580889210252966E-3</v>
      </c>
      <c r="F7" s="252">
        <v>1.2448550414992767E-4</v>
      </c>
      <c r="G7" s="252">
        <v>-1.27319E-3</v>
      </c>
      <c r="H7" s="234">
        <f t="shared" si="1"/>
        <v>-1.1487044958500723E-3</v>
      </c>
      <c r="I7" s="234">
        <f>((C7*$C$26)+(F7*$D$26))/($D$26+$C$26)</f>
        <v>1.2448550414992767E-4</v>
      </c>
      <c r="J7" s="234">
        <f>((D7*$C$26)+(G7*$D$26))/($D$26+$C$26)</f>
        <v>-1.27319E-3</v>
      </c>
      <c r="K7" s="234">
        <f t="shared" si="2"/>
        <v>-1.1487044958500723E-3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53" t="s">
        <v>227</v>
      </c>
      <c r="K10" s="453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54" t="s">
        <v>229</v>
      </c>
      <c r="C11" s="454" t="s">
        <v>230</v>
      </c>
      <c r="F11" s="27"/>
      <c r="G11" s="27"/>
      <c r="J11" s="455">
        <f>IF(AND($B$26&lt;$F$2,$E$26&lt;$F$2),#REF!,IF($B$26&lt;$F$2,K15,J15))</f>
        <v>0.198765645709125</v>
      </c>
      <c r="K11" s="456">
        <f>D31*J11</f>
        <v>197.37428618916113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21" t="s">
        <v>198</v>
      </c>
      <c r="C12" s="457">
        <f>J51</f>
        <v>789.93000000000006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317" t="s">
        <v>231</v>
      </c>
      <c r="J13" s="317" t="s">
        <v>232</v>
      </c>
      <c r="K13" s="317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58"/>
      <c r="C14" s="459" t="s">
        <v>170</v>
      </c>
      <c r="D14" s="27"/>
      <c r="E14" s="27"/>
      <c r="F14" s="27"/>
      <c r="G14" s="27"/>
      <c r="I14" s="318" t="s">
        <v>234</v>
      </c>
      <c r="J14" s="318" t="s">
        <v>234</v>
      </c>
      <c r="K14" s="31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58" t="s">
        <v>190</v>
      </c>
      <c r="C15" s="457">
        <f>$C$12*(VLOOKUP($B$12,B112:G120,3,0))</f>
        <v>314.14882418003111</v>
      </c>
      <c r="D15" s="27"/>
      <c r="E15" s="27"/>
      <c r="F15" s="27"/>
      <c r="G15" s="27"/>
      <c r="I15" s="319">
        <v>0.19769341067594101</v>
      </c>
      <c r="J15" s="319">
        <v>0.198765645709125</v>
      </c>
      <c r="K15" s="319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58" t="s">
        <v>192</v>
      </c>
      <c r="C16" s="457">
        <f>$C$12*(VLOOKUP($B$12,B112:G120,5,0))</f>
        <v>199.58172939495248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58" t="s">
        <v>191</v>
      </c>
      <c r="C17" s="457">
        <f>$C$12*(VLOOKUP($B$12,B112:G120,4,0))</f>
        <v>67.244976913992048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58" t="s">
        <v>235</v>
      </c>
      <c r="C18" s="457">
        <f>$C$12*(VLOOKUP($B$12,B112:G120,6,0))</f>
        <v>208.95446951102443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58" t="s">
        <v>236</v>
      </c>
      <c r="C19" s="457">
        <f>L51</f>
        <v>32.656691658856609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59" t="s">
        <v>237</v>
      </c>
      <c r="C20" s="460">
        <f>SUM(C15:C19)</f>
        <v>822.58669165885669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v>46126</v>
      </c>
      <c r="C26" s="32">
        <f>IF((F2-B26-1)&lt;0,0,(F2-B26-1))</f>
        <v>0</v>
      </c>
      <c r="D26" s="32">
        <f>E26-F2</f>
        <v>133</v>
      </c>
      <c r="E26" s="122">
        <v>46156</v>
      </c>
      <c r="F26" s="461">
        <f>E26</f>
        <v>46156</v>
      </c>
      <c r="G26" s="25"/>
      <c r="H26" s="33">
        <f>B26</f>
        <v>46126</v>
      </c>
      <c r="I26" s="34">
        <f>IF((H24-H26-1)&lt;0,0,(H24-H26-1))</f>
        <v>16</v>
      </c>
      <c r="J26" s="34">
        <f>K26-H24+1</f>
        <v>14</v>
      </c>
      <c r="K26" s="33">
        <f>E26</f>
        <v>46156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993</v>
      </c>
      <c r="E31" s="171">
        <f>(ROUND(D31*K31,2)+ROUND(G31,2)+ROUND(J31,2))/ROUND(D31,4)</f>
        <v>0.4755488418932528</v>
      </c>
      <c r="F31" s="169">
        <f>ROUND(D31*E31,2)</f>
        <v>472.22</v>
      </c>
      <c r="G31" s="169">
        <f>((D31*K31)/(1-$N$31-$N$32))*($N$31+$N$32)</f>
        <v>18.747152355513901</v>
      </c>
      <c r="H31" s="176">
        <f>ROUND((D31*K31)/(1-$N$31-$N$32)/(1-$I$31),8)</f>
        <v>472.22046236</v>
      </c>
      <c r="I31" s="247">
        <v>0</v>
      </c>
      <c r="J31" s="176">
        <f>H31*$I$31</f>
        <v>0</v>
      </c>
      <c r="K31" s="267">
        <f>I6</f>
        <v>0.45667000000000002</v>
      </c>
      <c r="L31" s="95" t="s">
        <v>263</v>
      </c>
      <c r="M31" s="169">
        <f>D66</f>
        <v>822.58669165885669</v>
      </c>
      <c r="N31" s="237">
        <f>'B1C ICMS'!N31</f>
        <v>7.1000000000000004E-3</v>
      </c>
      <c r="O31" s="178">
        <f>ROUND(M31*N31,2)</f>
        <v>5.84</v>
      </c>
    </row>
    <row r="32" spans="1:25" x14ac:dyDescent="0.3">
      <c r="B32" s="163" t="s">
        <v>289</v>
      </c>
      <c r="C32" s="164" t="s">
        <v>262</v>
      </c>
      <c r="D32" s="184">
        <f>D31</f>
        <v>993</v>
      </c>
      <c r="E32" s="171">
        <f>(ROUND(D32*K32,2)+ROUND(G32,2)+ROUND(J32,2))/ROUND(D32,4)</f>
        <v>0.34367573011077546</v>
      </c>
      <c r="F32" s="169">
        <f>ROUND(D32*E32,2)</f>
        <v>341.27</v>
      </c>
      <c r="G32" s="169">
        <f>((D32*K32)/(1-$N$31-$N$32))*($N$31+$N$32)</f>
        <v>13.548344957825678</v>
      </c>
      <c r="H32" s="176">
        <f t="shared" ref="H32:H36" si="3">(D32*K32)/(1-$N$31-$N$32)/(1-$I$31)</f>
        <v>341.26813495782568</v>
      </c>
      <c r="I32" s="163"/>
      <c r="J32" s="176">
        <f t="shared" ref="J32:J36" si="4">H32*$I$31</f>
        <v>0</v>
      </c>
      <c r="K32" s="267">
        <f>J6</f>
        <v>0.33002999999999999</v>
      </c>
      <c r="L32" s="95" t="s">
        <v>265</v>
      </c>
      <c r="M32" s="169">
        <f>M31</f>
        <v>822.58669165885669</v>
      </c>
      <c r="N32" s="237">
        <f>'B1C ICMS'!N32</f>
        <v>3.2599999999999997E-2</v>
      </c>
      <c r="O32" s="178">
        <f>ROUND(M32*N32,2)</f>
        <v>26.82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463.4</v>
      </c>
      <c r="E33" s="171">
        <f>IFERROR((ROUND(D33*K33,2)+ROUND(G33,2)+ROUND(J33,2))/ROUND(D33,4), 0)</f>
        <v>1.9637462235649546E-2</v>
      </c>
      <c r="F33" s="169">
        <f t="shared" ref="F33:F36" si="5">ROUND(D33*E33,2)</f>
        <v>9.1</v>
      </c>
      <c r="G33" s="169">
        <f t="shared" ref="G33:G36" si="6">((D33*K33)/(1-$N$31-$N$32))*($N$31+$N$32)</f>
        <v>0.36111951785900237</v>
      </c>
      <c r="H33" s="176">
        <f t="shared" si="3"/>
        <v>9.0962095178590019</v>
      </c>
      <c r="I33" s="163"/>
      <c r="J33" s="176">
        <f t="shared" si="4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6" si="7">K34/(1-$N$31-$N$32)/(1-$I$31)</f>
        <v>4.6475059877121735E-2</v>
      </c>
      <c r="F34" s="169">
        <f t="shared" si="5"/>
        <v>0</v>
      </c>
      <c r="G34" s="169">
        <f t="shared" si="6"/>
        <v>0</v>
      </c>
      <c r="H34" s="176">
        <f t="shared" si="3"/>
        <v>0</v>
      </c>
      <c r="I34" s="163"/>
      <c r="J34" s="176">
        <f t="shared" si="4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7"/>
        <v>8.202645006768719E-2</v>
      </c>
      <c r="F35" s="169">
        <f t="shared" si="5"/>
        <v>0</v>
      </c>
      <c r="G35" s="169">
        <f t="shared" si="6"/>
        <v>0</v>
      </c>
      <c r="H35" s="176">
        <f t="shared" si="3"/>
        <v>0</v>
      </c>
      <c r="I35" s="163"/>
      <c r="J35" s="176">
        <f t="shared" si="4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7"/>
        <v>0.14787045714880764</v>
      </c>
      <c r="F36" s="169">
        <f t="shared" si="5"/>
        <v>0</v>
      </c>
      <c r="G36" s="169">
        <f t="shared" si="6"/>
        <v>0</v>
      </c>
      <c r="H36" s="176">
        <f t="shared" si="3"/>
        <v>0</v>
      </c>
      <c r="I36" s="163"/>
      <c r="J36" s="176">
        <f t="shared" si="4"/>
        <v>0</v>
      </c>
      <c r="K36" s="171">
        <f>N26</f>
        <v>0.14199999999999999</v>
      </c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5">
        <v>35.549999999999997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/>
      <c r="G38" s="163"/>
      <c r="H38" s="163"/>
      <c r="I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/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/>
      <c r="G40" s="163"/>
      <c r="H40" s="163"/>
      <c r="I40" s="163"/>
      <c r="J40" s="163"/>
      <c r="K40" s="163"/>
      <c r="O40" s="46"/>
      <c r="R40" s="187"/>
    </row>
    <row r="41" spans="2:19" x14ac:dyDescent="0.3">
      <c r="B41" s="343" t="s">
        <v>272</v>
      </c>
      <c r="C41" s="343"/>
      <c r="D41" s="344"/>
      <c r="E41" s="343"/>
      <c r="F41" s="345"/>
      <c r="G41" s="163"/>
      <c r="H41" s="163"/>
      <c r="I41" s="163"/>
      <c r="J41" s="163"/>
      <c r="K41" s="163"/>
      <c r="O41" s="46"/>
    </row>
    <row r="42" spans="2:19" x14ac:dyDescent="0.3">
      <c r="B42" s="163"/>
      <c r="C42" s="163"/>
      <c r="D42" s="184"/>
      <c r="E42" s="163"/>
      <c r="F42" s="163">
        <v>0</v>
      </c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">
      <c r="B44" s="170" t="s">
        <v>177</v>
      </c>
      <c r="C44" s="166"/>
      <c r="D44" s="185"/>
      <c r="E44" s="166"/>
      <c r="F44" s="172">
        <f>SUM(F31:F43)</f>
        <v>858.14</v>
      </c>
      <c r="G44" s="175">
        <f>SUM(G31:G43)</f>
        <v>32.656616831198583</v>
      </c>
      <c r="H44" s="177">
        <f>SUM(H31:H43)</f>
        <v>822.58480683568473</v>
      </c>
      <c r="I44" s="166"/>
      <c r="J44" s="177">
        <f>SUM(J31:J43)</f>
        <v>0</v>
      </c>
      <c r="K44" s="166"/>
      <c r="L44" s="53"/>
      <c r="M44" s="53"/>
      <c r="N44" s="53"/>
      <c r="O44" s="241">
        <f>F44</f>
        <v>858.14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-1.1406635643791219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761">
        <f>SUM(H54:H60)</f>
        <v>789.93000000000006</v>
      </c>
      <c r="K51" s="762"/>
      <c r="L51" s="761">
        <f>SUM(H66:H68)</f>
        <v>32.656691658856609</v>
      </c>
      <c r="M51" s="762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822.58669165885669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123">
        <f>D31</f>
        <v>993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781.19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463.4</v>
      </c>
      <c r="E57" s="27"/>
      <c r="F57" s="48">
        <f>N23</f>
        <v>1.8849999999999999E-2</v>
      </c>
      <c r="G57" s="48"/>
      <c r="H57" s="42">
        <f>ROUND(D57*(E57+F57),2)</f>
        <v>8.74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822.58669165885669</v>
      </c>
      <c r="E66" s="215">
        <f>N31</f>
        <v>7.1000000000000004E-3</v>
      </c>
      <c r="F66" s="27"/>
      <c r="G66" s="27"/>
      <c r="H66" s="42">
        <f>D66*E66</f>
        <v>5.8403655107778825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822.58669165885669</v>
      </c>
      <c r="E67" s="215">
        <f>N32</f>
        <v>3.2599999999999997E-2</v>
      </c>
      <c r="F67" s="27"/>
      <c r="G67" s="27"/>
      <c r="H67" s="42">
        <f>D67*E67</f>
        <v>26.816326148078726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822.58480683568473</v>
      </c>
      <c r="E68" s="249">
        <f>I31</f>
        <v>0</v>
      </c>
      <c r="F68" s="27"/>
      <c r="G68" s="27"/>
      <c r="H68" s="42">
        <f>D68*E68</f>
        <v>0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05" t="s">
        <v>191</v>
      </c>
      <c r="F81" s="305" t="s">
        <v>192</v>
      </c>
      <c r="G81" s="30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05"/>
      <c r="E83" s="305"/>
      <c r="F83" s="305"/>
      <c r="G83" s="305"/>
    </row>
    <row r="84" spans="2:10" x14ac:dyDescent="0.3">
      <c r="B84" s="35" t="s">
        <v>196</v>
      </c>
      <c r="C84" s="35"/>
      <c r="D84" s="306">
        <v>0.39769197799808981</v>
      </c>
      <c r="E84" s="306">
        <v>8.512776690845017E-2</v>
      </c>
      <c r="F84" s="306">
        <v>0.25265748787228293</v>
      </c>
      <c r="G84" s="306">
        <v>0.26452276722117707</v>
      </c>
    </row>
    <row r="85" spans="2:10" x14ac:dyDescent="0.3">
      <c r="B85" s="35" t="s">
        <v>197</v>
      </c>
      <c r="C85" s="35"/>
      <c r="D85" s="306">
        <v>0.51666134768573579</v>
      </c>
      <c r="E85" s="306">
        <v>0.11059369866547396</v>
      </c>
      <c r="F85" s="306">
        <v>0.32823985750000007</v>
      </c>
      <c r="G85" s="306">
        <v>4.4505096148790169E-2</v>
      </c>
    </row>
    <row r="86" spans="2:10" x14ac:dyDescent="0.3">
      <c r="B86" s="35" t="s">
        <v>198</v>
      </c>
      <c r="C86" s="35"/>
      <c r="D86" s="306">
        <v>0.39769197799808981</v>
      </c>
      <c r="E86" s="306">
        <v>8.512776690845017E-2</v>
      </c>
      <c r="F86" s="306">
        <v>0.25265748787228293</v>
      </c>
      <c r="G86" s="306">
        <v>0.26452276722117707</v>
      </c>
    </row>
    <row r="87" spans="2:10" x14ac:dyDescent="0.3">
      <c r="B87" s="35" t="s">
        <v>199</v>
      </c>
      <c r="C87" s="35"/>
      <c r="D87" s="306">
        <v>0.39769197799808981</v>
      </c>
      <c r="E87" s="306">
        <v>8.512776690845017E-2</v>
      </c>
      <c r="F87" s="306">
        <v>0.25265748787228293</v>
      </c>
      <c r="G87" s="306">
        <v>0.26452276722117707</v>
      </c>
      <c r="J87" s="30"/>
    </row>
    <row r="88" spans="2:10" x14ac:dyDescent="0.3">
      <c r="B88" s="35" t="s">
        <v>200</v>
      </c>
      <c r="C88" s="35"/>
      <c r="D88" s="306">
        <v>0.39769197799808981</v>
      </c>
      <c r="E88" s="306">
        <v>8.512776690845017E-2</v>
      </c>
      <c r="F88" s="306">
        <v>0.25265748787228293</v>
      </c>
      <c r="G88" s="306">
        <v>0.26452276722117707</v>
      </c>
    </row>
    <row r="89" spans="2:10" x14ac:dyDescent="0.3">
      <c r="B89" s="35" t="s">
        <v>201</v>
      </c>
      <c r="C89" s="35"/>
      <c r="D89" s="306">
        <v>0.39769197799808981</v>
      </c>
      <c r="E89" s="306">
        <v>8.512776690845017E-2</v>
      </c>
      <c r="F89" s="306">
        <v>0.25265748787228293</v>
      </c>
      <c r="G89" s="306">
        <v>0.26452276722117707</v>
      </c>
    </row>
    <row r="90" spans="2:10" x14ac:dyDescent="0.3">
      <c r="B90" s="35" t="s">
        <v>202</v>
      </c>
      <c r="C90" s="35"/>
      <c r="D90" s="306">
        <v>0.39769197799808981</v>
      </c>
      <c r="E90" s="306">
        <v>8.512776690845017E-2</v>
      </c>
      <c r="F90" s="306">
        <v>0.25265748787228293</v>
      </c>
      <c r="G90" s="306">
        <v>0.26452276722117707</v>
      </c>
    </row>
    <row r="91" spans="2:10" x14ac:dyDescent="0.3">
      <c r="B91" s="35" t="s">
        <v>203</v>
      </c>
      <c r="C91" s="35"/>
      <c r="D91" s="306">
        <v>0.39769197799808981</v>
      </c>
      <c r="E91" s="306">
        <v>8.512776690845017E-2</v>
      </c>
      <c r="F91" s="306">
        <v>0.25265748787228293</v>
      </c>
      <c r="G91" s="306">
        <v>0.26452276722117707</v>
      </c>
    </row>
    <row r="92" spans="2:10" x14ac:dyDescent="0.3">
      <c r="B92" s="35" t="s">
        <v>204</v>
      </c>
      <c r="C92" s="35"/>
      <c r="D92" s="306">
        <v>0.39769197799808981</v>
      </c>
      <c r="E92" s="306">
        <v>8.512776690845017E-2</v>
      </c>
      <c r="F92" s="306">
        <v>0.25265748787228293</v>
      </c>
      <c r="G92" s="306">
        <v>0.26452276722117707</v>
      </c>
    </row>
    <row r="93" spans="2:10" x14ac:dyDescent="0.3">
      <c r="B93" s="64"/>
      <c r="C93" s="64"/>
      <c r="D93" s="119"/>
      <c r="E93" s="119"/>
      <c r="F93" s="119"/>
      <c r="G93" s="119"/>
    </row>
    <row r="94" spans="2:10" x14ac:dyDescent="0.3">
      <c r="B94" s="64"/>
      <c r="C94" s="64"/>
      <c r="D94" s="119"/>
      <c r="E94" s="119"/>
      <c r="F94" s="119"/>
      <c r="G94" s="119"/>
    </row>
    <row r="95" spans="2:10" x14ac:dyDescent="0.3">
      <c r="B95" s="35">
        <v>2024</v>
      </c>
      <c r="C95" s="35"/>
      <c r="D95" s="305" t="s">
        <v>190</v>
      </c>
      <c r="E95" s="305" t="s">
        <v>191</v>
      </c>
      <c r="F95" s="305" t="s">
        <v>192</v>
      </c>
      <c r="G95" s="305" t="s">
        <v>193</v>
      </c>
    </row>
    <row r="96" spans="2:10" x14ac:dyDescent="0.3">
      <c r="B96" s="35" t="s">
        <v>194</v>
      </c>
      <c r="C96" s="35"/>
      <c r="D96" s="305" t="s">
        <v>195</v>
      </c>
      <c r="E96" s="305" t="s">
        <v>195</v>
      </c>
      <c r="F96" s="305" t="s">
        <v>195</v>
      </c>
      <c r="G96" s="305" t="s">
        <v>195</v>
      </c>
    </row>
    <row r="97" spans="2:7" x14ac:dyDescent="0.3">
      <c r="B97" s="35"/>
      <c r="C97" s="35"/>
      <c r="D97" s="305"/>
      <c r="E97" s="305"/>
      <c r="F97" s="305"/>
      <c r="G97" s="305"/>
    </row>
    <row r="98" spans="2:7" x14ac:dyDescent="0.3">
      <c r="B98" s="35" t="s">
        <v>196</v>
      </c>
      <c r="C98" s="35"/>
      <c r="D98" s="306">
        <v>0.41273682960000002</v>
      </c>
      <c r="E98" s="306">
        <v>9.8534926200000011E-2</v>
      </c>
      <c r="F98" s="306">
        <v>0.2916348184</v>
      </c>
      <c r="G98" s="306">
        <v>0.19709700829999999</v>
      </c>
    </row>
    <row r="99" spans="2:7" x14ac:dyDescent="0.3">
      <c r="B99" s="35" t="s">
        <v>197</v>
      </c>
      <c r="C99" s="35"/>
      <c r="D99" s="306">
        <v>0.49306718250000003</v>
      </c>
      <c r="E99" s="306">
        <v>0.11771263169999999</v>
      </c>
      <c r="F99" s="306">
        <v>0.34839526770000001</v>
      </c>
      <c r="G99" s="306">
        <v>4.0810691699999999E-2</v>
      </c>
    </row>
    <row r="100" spans="2:7" x14ac:dyDescent="0.3">
      <c r="B100" s="35" t="s">
        <v>198</v>
      </c>
      <c r="C100" s="35"/>
      <c r="D100" s="306">
        <v>0.41273682960000002</v>
      </c>
      <c r="E100" s="306">
        <v>9.8534926200000011E-2</v>
      </c>
      <c r="F100" s="306">
        <v>0.2916348184</v>
      </c>
      <c r="G100" s="306">
        <v>0.19709700829999999</v>
      </c>
    </row>
    <row r="101" spans="2:7" x14ac:dyDescent="0.3">
      <c r="B101" s="35" t="s">
        <v>199</v>
      </c>
      <c r="C101" s="35"/>
      <c r="D101" s="306">
        <v>0.41273682960000002</v>
      </c>
      <c r="E101" s="306">
        <v>9.8534926200000011E-2</v>
      </c>
      <c r="F101" s="306">
        <v>0.2916348184</v>
      </c>
      <c r="G101" s="306">
        <v>0.19709700829999999</v>
      </c>
    </row>
    <row r="102" spans="2:7" x14ac:dyDescent="0.3">
      <c r="B102" s="35" t="s">
        <v>200</v>
      </c>
      <c r="C102" s="35"/>
      <c r="D102" s="306">
        <v>0.41273682960000002</v>
      </c>
      <c r="E102" s="306">
        <v>9.8534926200000011E-2</v>
      </c>
      <c r="F102" s="306">
        <v>0.2916348184</v>
      </c>
      <c r="G102" s="306">
        <v>0.19709700829999999</v>
      </c>
    </row>
    <row r="103" spans="2:7" x14ac:dyDescent="0.3">
      <c r="B103" s="35" t="s">
        <v>201</v>
      </c>
      <c r="C103" s="35"/>
      <c r="D103" s="306">
        <v>0.41273682960000002</v>
      </c>
      <c r="E103" s="306">
        <v>9.8534926200000011E-2</v>
      </c>
      <c r="F103" s="306">
        <v>0.2916348184</v>
      </c>
      <c r="G103" s="306">
        <v>0.19709700829999999</v>
      </c>
    </row>
    <row r="104" spans="2:7" x14ac:dyDescent="0.3">
      <c r="B104" s="35" t="s">
        <v>202</v>
      </c>
      <c r="C104" s="35"/>
      <c r="D104" s="306">
        <v>0.41273480010000002</v>
      </c>
      <c r="E104" s="306">
        <v>9.8534441600000008E-2</v>
      </c>
      <c r="F104" s="306">
        <v>0.29163338430000002</v>
      </c>
      <c r="G104" s="306">
        <v>0.19709603919999999</v>
      </c>
    </row>
    <row r="105" spans="2:7" x14ac:dyDescent="0.3">
      <c r="B105" s="35" t="s">
        <v>203</v>
      </c>
      <c r="C105" s="35"/>
      <c r="D105" s="306">
        <v>0.41274125779999998</v>
      </c>
      <c r="E105" s="306">
        <v>9.8535983300000005E-2</v>
      </c>
      <c r="F105" s="306">
        <v>0.29163794719999997</v>
      </c>
      <c r="G105" s="306">
        <v>0.19709912289999998</v>
      </c>
    </row>
    <row r="106" spans="2:7" x14ac:dyDescent="0.3">
      <c r="B106" s="35" t="s">
        <v>204</v>
      </c>
      <c r="C106" s="35"/>
      <c r="D106" s="306">
        <v>0.41273480010000002</v>
      </c>
      <c r="E106" s="306">
        <v>9.8534441600000008E-2</v>
      </c>
      <c r="F106" s="306">
        <v>0.29163338430000002</v>
      </c>
      <c r="G106" s="306">
        <v>0.19709603919999999</v>
      </c>
    </row>
    <row r="107" spans="2:7" x14ac:dyDescent="0.3">
      <c r="B107" s="64"/>
      <c r="C107" s="64"/>
      <c r="D107" s="119"/>
      <c r="E107" s="119"/>
      <c r="F107" s="119"/>
      <c r="G107" s="119"/>
    </row>
    <row r="108" spans="2:7" x14ac:dyDescent="0.3">
      <c r="B108" s="135" t="s">
        <v>284</v>
      </c>
      <c r="C108" s="64"/>
      <c r="D108" s="119"/>
      <c r="E108" s="119"/>
      <c r="F108" s="119"/>
      <c r="G108" s="119"/>
    </row>
    <row r="109" spans="2:7" x14ac:dyDescent="0.3">
      <c r="B109" s="35"/>
      <c r="C109" s="35"/>
      <c r="D109" s="305" t="s">
        <v>190</v>
      </c>
      <c r="E109" s="305" t="s">
        <v>191</v>
      </c>
      <c r="F109" s="305" t="s">
        <v>192</v>
      </c>
      <c r="G109" s="30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306"/>
      <c r="E111" s="306"/>
      <c r="F111" s="306"/>
      <c r="G111" s="306"/>
    </row>
    <row r="112" spans="2:7" x14ac:dyDescent="0.3">
      <c r="B112" s="35" t="s">
        <v>196</v>
      </c>
      <c r="C112" s="35"/>
      <c r="D112" s="306">
        <f t="shared" ref="D112:G120" si="8">((D98*$C$26)+(D84*$D$26))/($C$26+$D$26)</f>
        <v>0.39769197799808981</v>
      </c>
      <c r="E112" s="306">
        <f t="shared" si="8"/>
        <v>8.512776690845017E-2</v>
      </c>
      <c r="F112" s="306">
        <f t="shared" si="8"/>
        <v>0.25265748787228293</v>
      </c>
      <c r="G112" s="306">
        <f t="shared" si="8"/>
        <v>0.26452276722117707</v>
      </c>
    </row>
    <row r="113" spans="2:7" x14ac:dyDescent="0.3">
      <c r="B113" s="35" t="s">
        <v>197</v>
      </c>
      <c r="C113" s="35"/>
      <c r="D113" s="306">
        <f t="shared" si="8"/>
        <v>0.51666134768573579</v>
      </c>
      <c r="E113" s="306">
        <f t="shared" si="8"/>
        <v>0.11059369866547396</v>
      </c>
      <c r="F113" s="306">
        <f t="shared" si="8"/>
        <v>0.32823985750000007</v>
      </c>
      <c r="G113" s="306">
        <f t="shared" si="8"/>
        <v>4.4505096148790169E-2</v>
      </c>
    </row>
    <row r="114" spans="2:7" x14ac:dyDescent="0.3">
      <c r="B114" s="35" t="s">
        <v>198</v>
      </c>
      <c r="C114" s="35"/>
      <c r="D114" s="306">
        <f t="shared" si="8"/>
        <v>0.39769197799808981</v>
      </c>
      <c r="E114" s="306">
        <f t="shared" si="8"/>
        <v>8.512776690845017E-2</v>
      </c>
      <c r="F114" s="306">
        <f t="shared" si="8"/>
        <v>0.25265748787228293</v>
      </c>
      <c r="G114" s="306">
        <f t="shared" si="8"/>
        <v>0.26452276722117707</v>
      </c>
    </row>
    <row r="115" spans="2:7" x14ac:dyDescent="0.3">
      <c r="B115" s="35" t="s">
        <v>199</v>
      </c>
      <c r="C115" s="35"/>
      <c r="D115" s="306">
        <f t="shared" si="8"/>
        <v>0.39769197799808981</v>
      </c>
      <c r="E115" s="306">
        <f t="shared" si="8"/>
        <v>8.512776690845017E-2</v>
      </c>
      <c r="F115" s="306">
        <f t="shared" si="8"/>
        <v>0.25265748787228293</v>
      </c>
      <c r="G115" s="306">
        <f t="shared" si="8"/>
        <v>0.26452276722117707</v>
      </c>
    </row>
    <row r="116" spans="2:7" x14ac:dyDescent="0.3">
      <c r="B116" s="35" t="s">
        <v>200</v>
      </c>
      <c r="C116" s="35"/>
      <c r="D116" s="306">
        <f t="shared" si="8"/>
        <v>0.39769197799808981</v>
      </c>
      <c r="E116" s="306">
        <f t="shared" si="8"/>
        <v>8.512776690845017E-2</v>
      </c>
      <c r="F116" s="306">
        <f t="shared" si="8"/>
        <v>0.25265748787228293</v>
      </c>
      <c r="G116" s="306">
        <f t="shared" si="8"/>
        <v>0.26452276722117707</v>
      </c>
    </row>
    <row r="117" spans="2:7" x14ac:dyDescent="0.3">
      <c r="B117" s="35" t="s">
        <v>201</v>
      </c>
      <c r="C117" s="35"/>
      <c r="D117" s="306">
        <f t="shared" si="8"/>
        <v>0.39769197799808981</v>
      </c>
      <c r="E117" s="306">
        <f t="shared" si="8"/>
        <v>8.512776690845017E-2</v>
      </c>
      <c r="F117" s="306">
        <f t="shared" si="8"/>
        <v>0.25265748787228293</v>
      </c>
      <c r="G117" s="306">
        <f t="shared" si="8"/>
        <v>0.26452276722117707</v>
      </c>
    </row>
    <row r="118" spans="2:7" x14ac:dyDescent="0.3">
      <c r="B118" s="35" t="s">
        <v>202</v>
      </c>
      <c r="C118" s="35"/>
      <c r="D118" s="306">
        <f t="shared" si="8"/>
        <v>0.39769197799808981</v>
      </c>
      <c r="E118" s="306">
        <f t="shared" si="8"/>
        <v>8.512776690845017E-2</v>
      </c>
      <c r="F118" s="306">
        <f t="shared" si="8"/>
        <v>0.25265748787228293</v>
      </c>
      <c r="G118" s="306">
        <f t="shared" si="8"/>
        <v>0.26452276722117707</v>
      </c>
    </row>
    <row r="119" spans="2:7" x14ac:dyDescent="0.3">
      <c r="B119" s="35" t="s">
        <v>203</v>
      </c>
      <c r="C119" s="35"/>
      <c r="D119" s="306">
        <f t="shared" si="8"/>
        <v>0.39769197799808981</v>
      </c>
      <c r="E119" s="306">
        <f t="shared" si="8"/>
        <v>8.512776690845017E-2</v>
      </c>
      <c r="F119" s="306">
        <f t="shared" si="8"/>
        <v>0.25265748787228293</v>
      </c>
      <c r="G119" s="306">
        <f t="shared" si="8"/>
        <v>0.26452276722117707</v>
      </c>
    </row>
    <row r="120" spans="2:7" x14ac:dyDescent="0.3">
      <c r="B120" s="35" t="s">
        <v>204</v>
      </c>
      <c r="C120" s="35"/>
      <c r="D120" s="306">
        <f t="shared" si="8"/>
        <v>0.39769197799808981</v>
      </c>
      <c r="E120" s="306">
        <f t="shared" si="8"/>
        <v>8.512776690845017E-2</v>
      </c>
      <c r="F120" s="306">
        <f t="shared" si="8"/>
        <v>0.25265748787228293</v>
      </c>
      <c r="G120" s="306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167" priority="1" operator="equal">
      <formula>"Escassez Hídrica"</formula>
    </cfRule>
    <cfRule type="cellIs" dxfId="166" priority="2" operator="equal">
      <formula>"VERDE"</formula>
    </cfRule>
    <cfRule type="cellIs" dxfId="165" priority="3" operator="equal">
      <formula>"BVM2"</formula>
    </cfRule>
    <cfRule type="cellIs" dxfId="164" priority="4" operator="equal">
      <formula>"BVM1"</formula>
    </cfRule>
    <cfRule type="cellIs" dxfId="163" priority="5" operator="equal">
      <formula>"BAM"</formula>
    </cfRule>
  </conditionalFormatting>
  <conditionalFormatting sqref="M22">
    <cfRule type="cellIs" dxfId="162" priority="11" operator="equal">
      <formula>"VERDE"</formula>
    </cfRule>
    <cfRule type="cellIs" dxfId="161" priority="12" operator="equal">
      <formula>"BVM2"</formula>
    </cfRule>
    <cfRule type="cellIs" dxfId="160" priority="13" operator="equal">
      <formula>"BVM1"</formula>
    </cfRule>
    <cfRule type="cellIs" dxfId="159" priority="14" operator="equal">
      <formula>"BAM"</formula>
    </cfRule>
  </conditionalFormatting>
  <conditionalFormatting sqref="M26">
    <cfRule type="containsText" dxfId="158" priority="6" operator="containsText" text="Escassez Hídrica">
      <formula>NOT(ISERROR(SEARCH("Escassez Hídrica",M26)))</formula>
    </cfRule>
    <cfRule type="cellIs" dxfId="157" priority="7" operator="equal">
      <formula>"VERDE"</formula>
    </cfRule>
    <cfRule type="cellIs" dxfId="156" priority="8" operator="equal">
      <formula>"BVM2"</formula>
    </cfRule>
    <cfRule type="cellIs" dxfId="155" priority="9" operator="equal">
      <formula>"BVM1"</formula>
    </cfRule>
    <cfRule type="cellIs" dxfId="154" priority="10" operator="equal">
      <formula>"BAM"</formula>
    </cfRule>
  </conditionalFormatting>
  <dataValidations disablePrompts="1" count="2">
    <dataValidation type="list" allowBlank="1" showInputMessage="1" showErrorMessage="1" sqref="B12" xr:uid="{00000000-0002-0000-0A00-000000000000}">
      <formula1>$B$71:$B$79</formula1>
    </dataValidation>
    <dataValidation type="list" allowBlank="1" showInputMessage="1" showErrorMessage="1" sqref="I24:J24" xr:uid="{00000000-0002-0000-0A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7">
    <tabColor rgb="FFFF0000"/>
  </sheetPr>
  <dimension ref="A1:Y120"/>
  <sheetViews>
    <sheetView showGridLines="0" topLeftCell="A29" zoomScale="110" zoomScaleNormal="110" workbookViewId="0">
      <selection activeCell="F42" sqref="F42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316</v>
      </c>
      <c r="E2" s="421" t="s">
        <v>211</v>
      </c>
      <c r="F2" s="452">
        <f>'B1CDE '!F2</f>
        <v>46023</v>
      </c>
      <c r="G2" s="25" t="s">
        <v>210</v>
      </c>
      <c r="J2" s="25"/>
      <c r="K2" s="25"/>
    </row>
    <row r="4" spans="1:20" ht="15" customHeight="1" x14ac:dyDescent="0.3">
      <c r="B4" s="767" t="s">
        <v>212</v>
      </c>
      <c r="C4" s="769" t="s">
        <v>213</v>
      </c>
      <c r="D4" s="769"/>
      <c r="E4" s="769"/>
      <c r="F4" s="769" t="s">
        <v>214</v>
      </c>
      <c r="G4" s="769"/>
      <c r="H4" s="769"/>
      <c r="I4" s="783" t="s">
        <v>215</v>
      </c>
      <c r="J4" s="783"/>
      <c r="K4" s="783"/>
    </row>
    <row r="5" spans="1:20" x14ac:dyDescent="0.3">
      <c r="B5" s="782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</row>
    <row r="6" spans="1:20" x14ac:dyDescent="0.3">
      <c r="B6" s="102" t="s">
        <v>21</v>
      </c>
      <c r="C6" s="424">
        <v>0.39694999999999997</v>
      </c>
      <c r="D6" s="424">
        <v>0.28093000000000001</v>
      </c>
      <c r="E6" s="424">
        <f t="shared" ref="E6:E7" si="0">C6+D6</f>
        <v>0.67788000000000004</v>
      </c>
      <c r="F6" s="425">
        <v>0.45667000000000002</v>
      </c>
      <c r="G6" s="425">
        <v>0.33002999999999999</v>
      </c>
      <c r="H6" s="424">
        <f t="shared" ref="H6:H7" si="1">F6+G6</f>
        <v>0.78669999999999995</v>
      </c>
      <c r="I6" s="424">
        <f>((C6*$C$26)+(F6*$D$26))/($D$26+$C$26)</f>
        <v>0.45667000000000002</v>
      </c>
      <c r="J6" s="424">
        <f>((D6*$C$26)+(G6*$D$26))/($D$26+$C$26)</f>
        <v>0.33002999999999999</v>
      </c>
      <c r="K6" s="424">
        <f t="shared" ref="K6:K7" si="2">I6+J6</f>
        <v>0.78669999999999995</v>
      </c>
    </row>
    <row r="7" spans="1:20" x14ac:dyDescent="0.3">
      <c r="A7" s="27" t="s">
        <v>210</v>
      </c>
      <c r="B7" s="250" t="s">
        <v>216</v>
      </c>
      <c r="C7" s="426">
        <v>1.1506162773328076E-4</v>
      </c>
      <c r="D7" s="426">
        <v>-2.0731505487585774E-3</v>
      </c>
      <c r="E7" s="424">
        <f t="shared" si="0"/>
        <v>-1.9580889210252966E-3</v>
      </c>
      <c r="F7" s="425">
        <v>1.2448550414992767E-4</v>
      </c>
      <c r="G7" s="425">
        <v>-1.27319E-3</v>
      </c>
      <c r="H7" s="424">
        <f t="shared" si="1"/>
        <v>-1.1487044958500723E-3</v>
      </c>
      <c r="I7" s="424">
        <f>((C7*$C$26)+(F7*$D$26))/($D$26+$C$26)</f>
        <v>1.2448550414992767E-4</v>
      </c>
      <c r="J7" s="424">
        <f>((D7*$C$26)+(G7*$D$26))/($D$26+$C$26)</f>
        <v>-1.27319E-3</v>
      </c>
      <c r="K7" s="424">
        <f t="shared" si="2"/>
        <v>-1.1487044958500723E-3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53" t="s">
        <v>227</v>
      </c>
      <c r="K10" s="453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54" t="s">
        <v>229</v>
      </c>
      <c r="C11" s="454" t="s">
        <v>230</v>
      </c>
      <c r="F11" s="27"/>
      <c r="G11" s="27"/>
      <c r="J11" s="455">
        <f>IF(AND($B$26&lt;$F$2,$E$26&lt;$F$2),#REF!,IF($B$26&lt;$F$2,K15,J15))</f>
        <v>0.198765645709125</v>
      </c>
      <c r="K11" s="456">
        <f>D31*J11</f>
        <v>165.17425158428287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21" t="s">
        <v>198</v>
      </c>
      <c r="C12" s="457">
        <f>J51</f>
        <v>660.53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317" t="s">
        <v>231</v>
      </c>
      <c r="J13" s="317" t="s">
        <v>232</v>
      </c>
      <c r="K13" s="317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58"/>
      <c r="C14" s="459" t="s">
        <v>170</v>
      </c>
      <c r="D14" s="27"/>
      <c r="E14" s="27"/>
      <c r="F14" s="27"/>
      <c r="G14" s="27"/>
      <c r="I14" s="318" t="s">
        <v>234</v>
      </c>
      <c r="J14" s="318" t="s">
        <v>234</v>
      </c>
      <c r="K14" s="31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58" t="s">
        <v>190</v>
      </c>
      <c r="C15" s="457">
        <f>$C$12*(VLOOKUP($B$12,B112:G120,3,0))</f>
        <v>262.68748222707825</v>
      </c>
      <c r="D15" s="27"/>
      <c r="E15" s="27"/>
      <c r="F15" s="27"/>
      <c r="G15" s="27"/>
      <c r="I15" s="319">
        <v>0.19769341067594101</v>
      </c>
      <c r="J15" s="319">
        <v>0.198765645709125</v>
      </c>
      <c r="K15" s="319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58" t="s">
        <v>192</v>
      </c>
      <c r="C16" s="457">
        <f>$C$12*(VLOOKUP($B$12,B112:G120,5,0))</f>
        <v>166.88785046427904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58" t="s">
        <v>191</v>
      </c>
      <c r="C17" s="457">
        <f>$C$12*(VLOOKUP($B$12,B112:G120,4,0))</f>
        <v>56.229443876038587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58" t="s">
        <v>235</v>
      </c>
      <c r="C18" s="457">
        <f>$C$12*(VLOOKUP($B$12,B112:G120,6,0))</f>
        <v>174.72522343260408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58" t="s">
        <v>236</v>
      </c>
      <c r="C19" s="457">
        <f>L51</f>
        <v>27.307134228886802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59" t="s">
        <v>237</v>
      </c>
      <c r="C20" s="460">
        <f>SUM(C15:C19)</f>
        <v>687.83713422888673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v>46125</v>
      </c>
      <c r="C26" s="32">
        <f>IF((F2-B26-1)&lt;0,0,(F2-B26-1))</f>
        <v>0</v>
      </c>
      <c r="D26" s="32">
        <f>E26-F2+1</f>
        <v>133</v>
      </c>
      <c r="E26" s="122">
        <v>46155</v>
      </c>
      <c r="F26" s="461">
        <f>E26</f>
        <v>46155</v>
      </c>
      <c r="G26" s="25"/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831</v>
      </c>
      <c r="E31" s="171">
        <f>(ROUND(D31*K31,2)+ROUND(G31,2)+ROUND(J31,2))/ROUND(D31,4)</f>
        <v>0.47554753309265946</v>
      </c>
      <c r="F31" s="169">
        <f>ROUND(D31*E31,2)</f>
        <v>395.18</v>
      </c>
      <c r="G31" s="169">
        <f>((D31*K31)/(1-$N$31-$N$32))*($N$31+$N$32)</f>
        <v>15.688704539206498</v>
      </c>
      <c r="H31" s="176">
        <v>0</v>
      </c>
      <c r="I31" s="247">
        <v>0</v>
      </c>
      <c r="J31" s="176">
        <f>H31*$I$31</f>
        <v>0</v>
      </c>
      <c r="K31" s="267">
        <f>I6</f>
        <v>0.45667000000000002</v>
      </c>
      <c r="L31" s="95" t="s">
        <v>263</v>
      </c>
      <c r="M31" s="169">
        <f>D66</f>
        <v>687.83713422888673</v>
      </c>
      <c r="N31" s="237">
        <f>'B1C ICMS'!N31</f>
        <v>7.1000000000000004E-3</v>
      </c>
      <c r="O31" s="178">
        <f>ROUND(M31*N31,2)</f>
        <v>4.88</v>
      </c>
    </row>
    <row r="32" spans="1:25" x14ac:dyDescent="0.3">
      <c r="B32" s="163" t="s">
        <v>289</v>
      </c>
      <c r="C32" s="164" t="s">
        <v>262</v>
      </c>
      <c r="D32" s="184">
        <f>D31</f>
        <v>831</v>
      </c>
      <c r="E32" s="171">
        <f>(ROUND(D32*K32,2)+ROUND(G32,2)+ROUND(J32,2))/ROUND(D32,4)</f>
        <v>0.34367027677496986</v>
      </c>
      <c r="F32" s="169">
        <f t="shared" ref="F32:F36" si="3">ROUND(D32*E32,2)</f>
        <v>285.58999999999997</v>
      </c>
      <c r="G32" s="169">
        <f>((D32*K32)/(1-$N$31-$N$32))*($N$31+$N$32)</f>
        <v>11.338040946579193</v>
      </c>
      <c r="H32" s="176">
        <v>0</v>
      </c>
      <c r="I32" s="163"/>
      <c r="J32" s="176">
        <f t="shared" ref="J32:J36" si="4">H32*$I$31</f>
        <v>0</v>
      </c>
      <c r="K32" s="267">
        <f>J6</f>
        <v>0.33002999999999999</v>
      </c>
      <c r="L32" s="95" t="s">
        <v>265</v>
      </c>
      <c r="M32" s="169">
        <f>M31</f>
        <v>687.83713422888673</v>
      </c>
      <c r="N32" s="237">
        <f>'B1C ICMS'!N32</f>
        <v>3.2599999999999997E-2</v>
      </c>
      <c r="O32" s="178">
        <f>ROUND(M32*N32,2)</f>
        <v>22.42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360.1</v>
      </c>
      <c r="E33" s="171">
        <f>IFERROR((ROUND(D33*K33,2)+ROUND(G33,2)+ROUND(J33,2))/ROUND(D33,4), 0)</f>
        <v>1.9633435156900862E-2</v>
      </c>
      <c r="F33" s="169">
        <f t="shared" si="3"/>
        <v>7.07</v>
      </c>
      <c r="G33" s="169">
        <f t="shared" ref="G33:G36" si="5">((D33*K33)/(1-$N$31-$N$32))*($N$31+$N$32)</f>
        <v>0.2806196339685515</v>
      </c>
      <c r="H33" s="176">
        <v>0</v>
      </c>
      <c r="I33" s="163"/>
      <c r="J33" s="176">
        <f t="shared" si="4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6" si="6">K34/(1-$N$31-$N$32)/(1-$I$31)</f>
        <v>4.6475059877121735E-2</v>
      </c>
      <c r="F34" s="169">
        <f t="shared" si="3"/>
        <v>0</v>
      </c>
      <c r="G34" s="169">
        <f t="shared" si="5"/>
        <v>0</v>
      </c>
      <c r="H34" s="176">
        <v>0</v>
      </c>
      <c r="I34" s="163"/>
      <c r="J34" s="176">
        <f t="shared" si="4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6"/>
        <v>8.202645006768719E-2</v>
      </c>
      <c r="F35" s="169">
        <f t="shared" si="3"/>
        <v>0</v>
      </c>
      <c r="G35" s="169">
        <f t="shared" si="5"/>
        <v>0</v>
      </c>
      <c r="H35" s="176">
        <v>0</v>
      </c>
      <c r="I35" s="163"/>
      <c r="J35" s="176">
        <f t="shared" si="4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6"/>
        <v>0.14787045714880764</v>
      </c>
      <c r="F36" s="169">
        <f t="shared" si="3"/>
        <v>0</v>
      </c>
      <c r="G36" s="169">
        <f t="shared" si="5"/>
        <v>0</v>
      </c>
      <c r="H36" s="176">
        <f t="shared" ref="H36" si="7">(D36*K36)/(1-$N$31-$N$32)/(1-$I$31)</f>
        <v>0</v>
      </c>
      <c r="I36" s="163"/>
      <c r="J36" s="176">
        <f t="shared" si="4"/>
        <v>0</v>
      </c>
      <c r="K36" s="171">
        <f>N26</f>
        <v>0.14199999999999999</v>
      </c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5">
        <v>0.5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>
        <v>1.91</v>
      </c>
      <c r="G38" s="163"/>
      <c r="H38" s="163"/>
      <c r="I38" s="163"/>
      <c r="J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>
        <v>17.21</v>
      </c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>
        <v>109.55</v>
      </c>
      <c r="G40" s="163"/>
      <c r="H40" s="163"/>
      <c r="I40" s="163"/>
      <c r="J40" s="163"/>
      <c r="K40" s="163"/>
      <c r="O40" s="46"/>
      <c r="R40" s="187"/>
    </row>
    <row r="41" spans="2:19" x14ac:dyDescent="0.3">
      <c r="B41" s="163" t="s">
        <v>272</v>
      </c>
      <c r="C41" s="163"/>
      <c r="D41" s="184"/>
      <c r="E41" s="163"/>
      <c r="F41" s="229">
        <v>5.3</v>
      </c>
      <c r="G41" s="163"/>
      <c r="H41" s="163"/>
      <c r="I41" s="163"/>
      <c r="J41" s="163"/>
      <c r="K41" s="163"/>
      <c r="O41" s="46"/>
    </row>
    <row r="42" spans="2:19" x14ac:dyDescent="0.3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">
      <c r="B44" s="170" t="s">
        <v>177</v>
      </c>
      <c r="C44" s="166"/>
      <c r="D44" s="185"/>
      <c r="E44" s="166"/>
      <c r="F44" s="172">
        <f>SUM(F31:F43)</f>
        <v>822.31</v>
      </c>
      <c r="G44" s="175">
        <f>SUM(G31:G43)</f>
        <v>27.307365119754241</v>
      </c>
      <c r="H44" s="177">
        <f>SUM(H31:H43)</f>
        <v>0</v>
      </c>
      <c r="I44" s="166"/>
      <c r="J44" s="177">
        <f>SUM(J31:J43)</f>
        <v>0</v>
      </c>
      <c r="K44" s="166"/>
      <c r="L44" s="53"/>
      <c r="M44" s="53"/>
      <c r="N44" s="53"/>
      <c r="O44" s="241">
        <f>F44</f>
        <v>822.31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-0.9545734360514101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761">
        <f>SUM(H54:H60)</f>
        <v>660.53</v>
      </c>
      <c r="K51" s="762"/>
      <c r="L51" s="761">
        <f>SUM(H66:H68)</f>
        <v>27.307134228886802</v>
      </c>
      <c r="M51" s="762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687.83713422888673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123">
        <f>D31</f>
        <v>831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653.74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360.1</v>
      </c>
      <c r="E57" s="27"/>
      <c r="F57" s="48">
        <f>N23</f>
        <v>1.8849999999999999E-2</v>
      </c>
      <c r="G57" s="48"/>
      <c r="H57" s="42">
        <f>ROUND(D57*(E57+F57),2)</f>
        <v>6.79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687.83713422888673</v>
      </c>
      <c r="E66" s="215">
        <f>N31</f>
        <v>7.1000000000000004E-3</v>
      </c>
      <c r="F66" s="27"/>
      <c r="G66" s="27"/>
      <c r="H66" s="42">
        <f>D66*E66</f>
        <v>4.8836436530250964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687.83713422888673</v>
      </c>
      <c r="E67" s="215">
        <f>N32</f>
        <v>3.2599999999999997E-2</v>
      </c>
      <c r="F67" s="27"/>
      <c r="G67" s="27"/>
      <c r="H67" s="42">
        <f>D67*E67</f>
        <v>22.423490575861706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0</v>
      </c>
      <c r="E68" s="249">
        <f>I31</f>
        <v>0</v>
      </c>
      <c r="F68" s="27"/>
      <c r="G68" s="27"/>
      <c r="H68" s="42">
        <f>D68*E68</f>
        <v>0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05" t="s">
        <v>191</v>
      </c>
      <c r="F81" s="305" t="s">
        <v>192</v>
      </c>
      <c r="G81" s="30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05"/>
      <c r="E83" s="305"/>
      <c r="F83" s="305"/>
      <c r="G83" s="305"/>
    </row>
    <row r="84" spans="2:10" x14ac:dyDescent="0.3">
      <c r="B84" s="35" t="s">
        <v>196</v>
      </c>
      <c r="C84" s="35"/>
      <c r="D84" s="306">
        <v>0.39769197799808981</v>
      </c>
      <c r="E84" s="306">
        <v>8.512776690845017E-2</v>
      </c>
      <c r="F84" s="306">
        <v>0.25265748787228293</v>
      </c>
      <c r="G84" s="306">
        <v>0.26452276722117707</v>
      </c>
    </row>
    <row r="85" spans="2:10" x14ac:dyDescent="0.3">
      <c r="B85" s="35" t="s">
        <v>197</v>
      </c>
      <c r="C85" s="35"/>
      <c r="D85" s="306">
        <v>0.51666134768573579</v>
      </c>
      <c r="E85" s="306">
        <v>0.11059369866547396</v>
      </c>
      <c r="F85" s="306">
        <v>0.32823985750000007</v>
      </c>
      <c r="G85" s="306">
        <v>4.4505096148790169E-2</v>
      </c>
    </row>
    <row r="86" spans="2:10" x14ac:dyDescent="0.3">
      <c r="B86" s="35" t="s">
        <v>198</v>
      </c>
      <c r="C86" s="35"/>
      <c r="D86" s="306">
        <v>0.39769197799808981</v>
      </c>
      <c r="E86" s="306">
        <v>8.512776690845017E-2</v>
      </c>
      <c r="F86" s="306">
        <v>0.25265748787228293</v>
      </c>
      <c r="G86" s="306">
        <v>0.26452276722117707</v>
      </c>
    </row>
    <row r="87" spans="2:10" x14ac:dyDescent="0.3">
      <c r="B87" s="35" t="s">
        <v>199</v>
      </c>
      <c r="C87" s="35"/>
      <c r="D87" s="306">
        <v>0.39769197799808981</v>
      </c>
      <c r="E87" s="306">
        <v>8.512776690845017E-2</v>
      </c>
      <c r="F87" s="306">
        <v>0.25265748787228293</v>
      </c>
      <c r="G87" s="306">
        <v>0.26452276722117707</v>
      </c>
      <c r="J87" s="30"/>
    </row>
    <row r="88" spans="2:10" x14ac:dyDescent="0.3">
      <c r="B88" s="35" t="s">
        <v>200</v>
      </c>
      <c r="C88" s="35"/>
      <c r="D88" s="306">
        <v>0.39769197799808981</v>
      </c>
      <c r="E88" s="306">
        <v>8.512776690845017E-2</v>
      </c>
      <c r="F88" s="306">
        <v>0.25265748787228293</v>
      </c>
      <c r="G88" s="306">
        <v>0.26452276722117707</v>
      </c>
    </row>
    <row r="89" spans="2:10" x14ac:dyDescent="0.3">
      <c r="B89" s="35" t="s">
        <v>201</v>
      </c>
      <c r="C89" s="35"/>
      <c r="D89" s="306">
        <v>0.39769197799808981</v>
      </c>
      <c r="E89" s="306">
        <v>8.512776690845017E-2</v>
      </c>
      <c r="F89" s="306">
        <v>0.25265748787228293</v>
      </c>
      <c r="G89" s="306">
        <v>0.26452276722117707</v>
      </c>
    </row>
    <row r="90" spans="2:10" x14ac:dyDescent="0.3">
      <c r="B90" s="35" t="s">
        <v>202</v>
      </c>
      <c r="C90" s="35"/>
      <c r="D90" s="306">
        <v>0.39769197799808981</v>
      </c>
      <c r="E90" s="306">
        <v>8.512776690845017E-2</v>
      </c>
      <c r="F90" s="306">
        <v>0.25265748787228293</v>
      </c>
      <c r="G90" s="306">
        <v>0.26452276722117707</v>
      </c>
    </row>
    <row r="91" spans="2:10" x14ac:dyDescent="0.3">
      <c r="B91" s="35" t="s">
        <v>203</v>
      </c>
      <c r="C91" s="35"/>
      <c r="D91" s="306">
        <v>0.39769197799808981</v>
      </c>
      <c r="E91" s="306">
        <v>8.512776690845017E-2</v>
      </c>
      <c r="F91" s="306">
        <v>0.25265748787228293</v>
      </c>
      <c r="G91" s="306">
        <v>0.26452276722117707</v>
      </c>
    </row>
    <row r="92" spans="2:10" x14ac:dyDescent="0.3">
      <c r="B92" s="35" t="s">
        <v>204</v>
      </c>
      <c r="C92" s="35"/>
      <c r="D92" s="306">
        <v>0.39769197799808981</v>
      </c>
      <c r="E92" s="306">
        <v>8.512776690845017E-2</v>
      </c>
      <c r="F92" s="306">
        <v>0.25265748787228293</v>
      </c>
      <c r="G92" s="306">
        <v>0.26452276722117707</v>
      </c>
    </row>
    <row r="93" spans="2:10" x14ac:dyDescent="0.3">
      <c r="B93" s="64"/>
      <c r="C93" s="64"/>
      <c r="D93" s="119"/>
      <c r="E93" s="119"/>
      <c r="F93" s="119"/>
      <c r="G93" s="119"/>
    </row>
    <row r="94" spans="2:10" x14ac:dyDescent="0.3">
      <c r="B94" s="64"/>
      <c r="C94" s="64"/>
      <c r="D94" s="119"/>
      <c r="E94" s="119"/>
      <c r="F94" s="119"/>
      <c r="G94" s="119"/>
    </row>
    <row r="95" spans="2:10" x14ac:dyDescent="0.3">
      <c r="B95" s="35">
        <v>2024</v>
      </c>
      <c r="C95" s="35"/>
      <c r="D95" s="305" t="s">
        <v>190</v>
      </c>
      <c r="E95" s="305" t="s">
        <v>191</v>
      </c>
      <c r="F95" s="305" t="s">
        <v>192</v>
      </c>
      <c r="G95" s="305" t="s">
        <v>193</v>
      </c>
    </row>
    <row r="96" spans="2:10" x14ac:dyDescent="0.3">
      <c r="B96" s="35" t="s">
        <v>194</v>
      </c>
      <c r="C96" s="35"/>
      <c r="D96" s="305" t="s">
        <v>195</v>
      </c>
      <c r="E96" s="305" t="s">
        <v>195</v>
      </c>
      <c r="F96" s="305" t="s">
        <v>195</v>
      </c>
      <c r="G96" s="305" t="s">
        <v>195</v>
      </c>
    </row>
    <row r="97" spans="2:7" x14ac:dyDescent="0.3">
      <c r="B97" s="35"/>
      <c r="C97" s="35"/>
      <c r="D97" s="305"/>
      <c r="E97" s="305"/>
      <c r="F97" s="305"/>
      <c r="G97" s="305"/>
    </row>
    <row r="98" spans="2:7" x14ac:dyDescent="0.3">
      <c r="B98" s="35" t="s">
        <v>196</v>
      </c>
      <c r="C98" s="35"/>
      <c r="D98" s="306">
        <v>0.41270000000000001</v>
      </c>
      <c r="E98" s="306">
        <v>9.8500000000000004E-2</v>
      </c>
      <c r="F98" s="306">
        <v>0.29160000000000003</v>
      </c>
      <c r="G98" s="306">
        <v>0.1971</v>
      </c>
    </row>
    <row r="99" spans="2:7" x14ac:dyDescent="0.3">
      <c r="B99" s="35" t="s">
        <v>197</v>
      </c>
      <c r="C99" s="35"/>
      <c r="D99" s="306">
        <v>0.49309999999999998</v>
      </c>
      <c r="E99" s="306">
        <v>0.1177</v>
      </c>
      <c r="F99" s="306">
        <v>0.34839999999999999</v>
      </c>
      <c r="G99" s="306">
        <v>4.0800000000000003E-2</v>
      </c>
    </row>
    <row r="100" spans="2:7" x14ac:dyDescent="0.3">
      <c r="B100" s="35" t="s">
        <v>198</v>
      </c>
      <c r="C100" s="35"/>
      <c r="D100" s="306">
        <v>0.41270000000000001</v>
      </c>
      <c r="E100" s="306">
        <v>9.8500000000000004E-2</v>
      </c>
      <c r="F100" s="306">
        <v>0.29160000000000003</v>
      </c>
      <c r="G100" s="306">
        <v>0.1971</v>
      </c>
    </row>
    <row r="101" spans="2:7" x14ac:dyDescent="0.3">
      <c r="B101" s="35" t="s">
        <v>199</v>
      </c>
      <c r="C101" s="35"/>
      <c r="D101" s="306">
        <v>0.41270000000000001</v>
      </c>
      <c r="E101" s="306">
        <v>9.8500000000000004E-2</v>
      </c>
      <c r="F101" s="306">
        <v>0.29160000000000003</v>
      </c>
      <c r="G101" s="306">
        <v>0.1971</v>
      </c>
    </row>
    <row r="102" spans="2:7" x14ac:dyDescent="0.3">
      <c r="B102" s="35" t="s">
        <v>200</v>
      </c>
      <c r="C102" s="35"/>
      <c r="D102" s="306">
        <v>0.41270000000000001</v>
      </c>
      <c r="E102" s="306">
        <v>9.8500000000000004E-2</v>
      </c>
      <c r="F102" s="306">
        <v>0.29160000000000003</v>
      </c>
      <c r="G102" s="306">
        <v>0.1971</v>
      </c>
    </row>
    <row r="103" spans="2:7" x14ac:dyDescent="0.3">
      <c r="B103" s="35" t="s">
        <v>201</v>
      </c>
      <c r="C103" s="35"/>
      <c r="D103" s="306">
        <v>0.41270000000000001</v>
      </c>
      <c r="E103" s="306">
        <v>9.8500000000000004E-2</v>
      </c>
      <c r="F103" s="306">
        <v>0.29160000000000003</v>
      </c>
      <c r="G103" s="306">
        <v>0.1971</v>
      </c>
    </row>
    <row r="104" spans="2:7" x14ac:dyDescent="0.3">
      <c r="B104" s="35" t="s">
        <v>202</v>
      </c>
      <c r="C104" s="35"/>
      <c r="D104" s="306">
        <v>0.41270000000000001</v>
      </c>
      <c r="E104" s="306">
        <v>9.8500000000000004E-2</v>
      </c>
      <c r="F104" s="306">
        <v>0.29160000000000003</v>
      </c>
      <c r="G104" s="306">
        <v>0.1971</v>
      </c>
    </row>
    <row r="105" spans="2:7" x14ac:dyDescent="0.3">
      <c r="B105" s="35" t="s">
        <v>203</v>
      </c>
      <c r="C105" s="35"/>
      <c r="D105" s="306">
        <v>0.41270000000000001</v>
      </c>
      <c r="E105" s="306">
        <v>9.8500000000000004E-2</v>
      </c>
      <c r="F105" s="306">
        <v>0.29160000000000003</v>
      </c>
      <c r="G105" s="306">
        <v>0.1971</v>
      </c>
    </row>
    <row r="106" spans="2:7" x14ac:dyDescent="0.3">
      <c r="B106" s="35" t="s">
        <v>204</v>
      </c>
      <c r="C106" s="35"/>
      <c r="D106" s="306">
        <v>0.41270000000000001</v>
      </c>
      <c r="E106" s="306">
        <v>9.8500000000000004E-2</v>
      </c>
      <c r="F106" s="306">
        <v>0.29160000000000003</v>
      </c>
      <c r="G106" s="306">
        <v>0.1971</v>
      </c>
    </row>
    <row r="107" spans="2:7" x14ac:dyDescent="0.3">
      <c r="B107" s="64"/>
      <c r="C107" s="64"/>
      <c r="D107" s="119"/>
      <c r="E107" s="119"/>
      <c r="F107" s="119"/>
      <c r="G107" s="119"/>
    </row>
    <row r="108" spans="2:7" x14ac:dyDescent="0.3">
      <c r="B108" s="135" t="s">
        <v>284</v>
      </c>
      <c r="C108" s="64"/>
      <c r="D108" s="119"/>
      <c r="E108" s="119"/>
      <c r="F108" s="119"/>
      <c r="G108" s="119"/>
    </row>
    <row r="109" spans="2:7" x14ac:dyDescent="0.3">
      <c r="B109" s="35"/>
      <c r="C109" s="35"/>
      <c r="D109" s="305" t="s">
        <v>190</v>
      </c>
      <c r="E109" s="305" t="s">
        <v>191</v>
      </c>
      <c r="F109" s="305" t="s">
        <v>192</v>
      </c>
      <c r="G109" s="30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306"/>
      <c r="E111" s="306"/>
      <c r="F111" s="306"/>
      <c r="G111" s="306"/>
    </row>
    <row r="112" spans="2:7" x14ac:dyDescent="0.3">
      <c r="B112" s="35" t="s">
        <v>196</v>
      </c>
      <c r="C112" s="35"/>
      <c r="D112" s="306">
        <f t="shared" ref="D112:G120" si="8">((D98*$C$26)+(D84*$D$26))/($C$26+$D$26)</f>
        <v>0.39769197799808981</v>
      </c>
      <c r="E112" s="306">
        <f t="shared" si="8"/>
        <v>8.512776690845017E-2</v>
      </c>
      <c r="F112" s="306">
        <f t="shared" si="8"/>
        <v>0.25265748787228293</v>
      </c>
      <c r="G112" s="306">
        <f t="shared" si="8"/>
        <v>0.26452276722117707</v>
      </c>
    </row>
    <row r="113" spans="2:7" x14ac:dyDescent="0.3">
      <c r="B113" s="35" t="s">
        <v>197</v>
      </c>
      <c r="C113" s="35"/>
      <c r="D113" s="306">
        <f t="shared" si="8"/>
        <v>0.51666134768573579</v>
      </c>
      <c r="E113" s="306">
        <f t="shared" si="8"/>
        <v>0.11059369866547396</v>
      </c>
      <c r="F113" s="306">
        <f t="shared" si="8"/>
        <v>0.32823985750000007</v>
      </c>
      <c r="G113" s="306">
        <f t="shared" si="8"/>
        <v>4.4505096148790169E-2</v>
      </c>
    </row>
    <row r="114" spans="2:7" x14ac:dyDescent="0.3">
      <c r="B114" s="35" t="s">
        <v>198</v>
      </c>
      <c r="C114" s="35"/>
      <c r="D114" s="306">
        <f t="shared" si="8"/>
        <v>0.39769197799808981</v>
      </c>
      <c r="E114" s="306">
        <f t="shared" si="8"/>
        <v>8.512776690845017E-2</v>
      </c>
      <c r="F114" s="306">
        <f t="shared" si="8"/>
        <v>0.25265748787228293</v>
      </c>
      <c r="G114" s="306">
        <f t="shared" si="8"/>
        <v>0.26452276722117707</v>
      </c>
    </row>
    <row r="115" spans="2:7" x14ac:dyDescent="0.3">
      <c r="B115" s="35" t="s">
        <v>199</v>
      </c>
      <c r="C115" s="35"/>
      <c r="D115" s="306">
        <f t="shared" si="8"/>
        <v>0.39769197799808981</v>
      </c>
      <c r="E115" s="306">
        <f t="shared" si="8"/>
        <v>8.512776690845017E-2</v>
      </c>
      <c r="F115" s="306">
        <f t="shared" si="8"/>
        <v>0.25265748787228293</v>
      </c>
      <c r="G115" s="306">
        <f t="shared" si="8"/>
        <v>0.26452276722117707</v>
      </c>
    </row>
    <row r="116" spans="2:7" x14ac:dyDescent="0.3">
      <c r="B116" s="35" t="s">
        <v>200</v>
      </c>
      <c r="C116" s="35"/>
      <c r="D116" s="306">
        <f t="shared" si="8"/>
        <v>0.39769197799808981</v>
      </c>
      <c r="E116" s="306">
        <f t="shared" si="8"/>
        <v>8.512776690845017E-2</v>
      </c>
      <c r="F116" s="306">
        <f t="shared" si="8"/>
        <v>0.25265748787228293</v>
      </c>
      <c r="G116" s="306">
        <f t="shared" si="8"/>
        <v>0.26452276722117707</v>
      </c>
    </row>
    <row r="117" spans="2:7" x14ac:dyDescent="0.3">
      <c r="B117" s="35" t="s">
        <v>201</v>
      </c>
      <c r="C117" s="35"/>
      <c r="D117" s="306">
        <f t="shared" si="8"/>
        <v>0.39769197799808981</v>
      </c>
      <c r="E117" s="306">
        <f t="shared" si="8"/>
        <v>8.512776690845017E-2</v>
      </c>
      <c r="F117" s="306">
        <f t="shared" si="8"/>
        <v>0.25265748787228293</v>
      </c>
      <c r="G117" s="306">
        <f t="shared" si="8"/>
        <v>0.26452276722117707</v>
      </c>
    </row>
    <row r="118" spans="2:7" x14ac:dyDescent="0.3">
      <c r="B118" s="35" t="s">
        <v>202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">
      <c r="B119" s="35" t="s">
        <v>203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  <row r="120" spans="2:7" x14ac:dyDescent="0.3">
      <c r="B120" s="35" t="s">
        <v>204</v>
      </c>
      <c r="C120" s="35"/>
      <c r="D120" s="71">
        <f t="shared" si="8"/>
        <v>0.39769197799808981</v>
      </c>
      <c r="E120" s="71">
        <f t="shared" si="8"/>
        <v>8.512776690845017E-2</v>
      </c>
      <c r="F120" s="71">
        <f t="shared" si="8"/>
        <v>0.25265748787228293</v>
      </c>
      <c r="G120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153" priority="1" operator="equal">
      <formula>"Escassez Hídrica"</formula>
    </cfRule>
    <cfRule type="cellIs" dxfId="152" priority="2" operator="equal">
      <formula>"VERDE"</formula>
    </cfRule>
    <cfRule type="cellIs" dxfId="151" priority="3" operator="equal">
      <formula>"BVM2"</formula>
    </cfRule>
    <cfRule type="cellIs" dxfId="150" priority="4" operator="equal">
      <formula>"BVM1"</formula>
    </cfRule>
    <cfRule type="cellIs" dxfId="149" priority="5" operator="equal">
      <formula>"BAM"</formula>
    </cfRule>
  </conditionalFormatting>
  <conditionalFormatting sqref="M22">
    <cfRule type="cellIs" dxfId="148" priority="11" operator="equal">
      <formula>"VERDE"</formula>
    </cfRule>
    <cfRule type="cellIs" dxfId="147" priority="12" operator="equal">
      <formula>"BVM2"</formula>
    </cfRule>
    <cfRule type="cellIs" dxfId="146" priority="13" operator="equal">
      <formula>"BVM1"</formula>
    </cfRule>
    <cfRule type="cellIs" dxfId="145" priority="14" operator="equal">
      <formula>"BAM"</formula>
    </cfRule>
  </conditionalFormatting>
  <conditionalFormatting sqref="M26">
    <cfRule type="containsText" dxfId="144" priority="6" operator="containsText" text="Escassez Hídrica">
      <formula>NOT(ISERROR(SEARCH("Escassez Hídrica",M26)))</formula>
    </cfRule>
    <cfRule type="cellIs" dxfId="143" priority="7" operator="equal">
      <formula>"VERDE"</formula>
    </cfRule>
    <cfRule type="cellIs" dxfId="142" priority="8" operator="equal">
      <formula>"BVM2"</formula>
    </cfRule>
    <cfRule type="cellIs" dxfId="141" priority="9" operator="equal">
      <formula>"BVM1"</formula>
    </cfRule>
    <cfRule type="cellIs" dxfId="140" priority="10" operator="equal">
      <formula>"BAM"</formula>
    </cfRule>
  </conditionalFormatting>
  <dataValidations count="2">
    <dataValidation type="list" allowBlank="1" showInputMessage="1" showErrorMessage="1" sqref="I24:J24" xr:uid="{00000000-0002-0000-0B00-000000000000}">
      <formula1>$M$22:$M$26</formula1>
    </dataValidation>
    <dataValidation type="list" allowBlank="1" showInputMessage="1" showErrorMessage="1" sqref="B12" xr:uid="{00000000-0002-0000-0B00-000001000000}">
      <formula1>$B$71:$B$79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1:Z140"/>
  <sheetViews>
    <sheetView showGridLines="0" topLeftCell="A13" zoomScale="80" zoomScaleNormal="80" workbookViewId="0">
      <selection activeCell="J29" sqref="J29"/>
    </sheetView>
  </sheetViews>
  <sheetFormatPr defaultColWidth="9.21875" defaultRowHeight="14.4" x14ac:dyDescent="0.3"/>
  <cols>
    <col min="1" max="1" width="5.44140625" style="27" customWidth="1"/>
    <col min="2" max="2" width="23.77734375" style="27" customWidth="1"/>
    <col min="3" max="3" width="11.77734375" style="27" customWidth="1"/>
    <col min="4" max="4" width="13.21875" style="27" customWidth="1"/>
    <col min="5" max="9" width="11.77734375" style="27" customWidth="1"/>
    <col min="10" max="10" width="12.77734375" style="27" customWidth="1"/>
    <col min="11" max="15" width="11.77734375" style="27" customWidth="1"/>
    <col min="16" max="16" width="13.77734375" style="27" customWidth="1"/>
    <col min="17" max="17" width="12.77734375" style="27" bestFit="1" customWidth="1"/>
    <col min="18" max="18" width="15.5546875" style="27" bestFit="1" customWidth="1"/>
    <col min="19" max="19" width="14.21875" style="27" bestFit="1" customWidth="1"/>
    <col min="20" max="20" width="11.21875" style="27" bestFit="1" customWidth="1"/>
    <col min="21" max="21" width="12.21875" style="27" bestFit="1" customWidth="1"/>
    <col min="22" max="22" width="13.21875" style="27" bestFit="1" customWidth="1"/>
    <col min="23" max="23" width="11.21875" style="27" bestFit="1" customWidth="1"/>
    <col min="24" max="24" width="12.21875" style="27" bestFit="1" customWidth="1"/>
    <col min="25" max="25" width="13.21875" style="27" bestFit="1" customWidth="1"/>
    <col min="26" max="26" width="11.21875" style="27" bestFit="1" customWidth="1"/>
    <col min="27" max="16384" width="9.21875" style="27"/>
  </cols>
  <sheetData>
    <row r="1" spans="1:26" x14ac:dyDescent="0.3">
      <c r="A1" s="27" t="s">
        <v>210</v>
      </c>
      <c r="G1" s="25"/>
      <c r="H1" s="25"/>
      <c r="I1" s="25"/>
      <c r="J1" s="25"/>
      <c r="K1" s="25"/>
    </row>
    <row r="2" spans="1:26" ht="18" x14ac:dyDescent="0.3">
      <c r="B2" s="12" t="s">
        <v>317</v>
      </c>
      <c r="C2" s="12" t="s">
        <v>318</v>
      </c>
      <c r="E2" s="29" t="s">
        <v>319</v>
      </c>
      <c r="F2" s="31" t="e">
        <f>#REF!</f>
        <v>#REF!</v>
      </c>
      <c r="G2" s="25"/>
      <c r="H2" s="25"/>
      <c r="I2" s="25"/>
      <c r="J2" s="25"/>
      <c r="K2" s="25"/>
      <c r="M2" s="13" t="s">
        <v>238</v>
      </c>
      <c r="N2" s="13" t="s">
        <v>239</v>
      </c>
      <c r="Q2" s="133" t="s">
        <v>227</v>
      </c>
      <c r="R2" s="136"/>
    </row>
    <row r="3" spans="1:26" customFormat="1" x14ac:dyDescent="0.3">
      <c r="M3" s="21" t="s">
        <v>74</v>
      </c>
      <c r="N3" s="14">
        <v>0</v>
      </c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customFormat="1" ht="15" customHeight="1" x14ac:dyDescent="0.3">
      <c r="B4" s="792" t="s">
        <v>212</v>
      </c>
      <c r="C4" s="769" t="str">
        <f>B1C!C4:E4</f>
        <v xml:space="preserve">TARIFA ANTIGA </v>
      </c>
      <c r="D4" s="769"/>
      <c r="E4" s="769"/>
      <c r="F4" s="769" t="str">
        <f>B1C!F4:H4</f>
        <v>TARIFA NOVA</v>
      </c>
      <c r="G4" s="769"/>
      <c r="H4" s="769"/>
      <c r="I4" s="798" t="s">
        <v>320</v>
      </c>
      <c r="J4" s="798"/>
      <c r="K4" s="798"/>
      <c r="M4" s="124" t="str">
        <f>B1C!M23</f>
        <v>BAM</v>
      </c>
      <c r="N4" s="125">
        <f>B1C!$N$23</f>
        <v>1.8849999999999999E-2</v>
      </c>
      <c r="Q4" s="792" t="s">
        <v>212</v>
      </c>
      <c r="R4" s="794" t="str">
        <f>C4</f>
        <v xml:space="preserve">TARIFA ANTIGA </v>
      </c>
      <c r="S4" s="795"/>
      <c r="T4" s="796"/>
      <c r="U4" s="794" t="str">
        <f>F4</f>
        <v>TARIFA NOVA</v>
      </c>
      <c r="V4" s="795"/>
      <c r="W4" s="796"/>
      <c r="X4" s="794" t="s">
        <v>320</v>
      </c>
      <c r="Y4" s="795"/>
      <c r="Z4" s="796"/>
    </row>
    <row r="5" spans="1:26" customFormat="1" x14ac:dyDescent="0.3">
      <c r="B5" s="793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  <c r="M5" s="126" t="str">
        <f>B1C!M24</f>
        <v>BVM1</v>
      </c>
      <c r="N5" s="127">
        <f>B1C!$N$24</f>
        <v>4.4630000000000003E-2</v>
      </c>
      <c r="Q5" s="793"/>
      <c r="R5" s="99" t="s">
        <v>321</v>
      </c>
      <c r="U5" s="99" t="s">
        <v>321</v>
      </c>
      <c r="X5" s="99" t="s">
        <v>321</v>
      </c>
    </row>
    <row r="6" spans="1:26" customFormat="1" x14ac:dyDescent="0.3">
      <c r="B6" s="102" t="s">
        <v>21</v>
      </c>
      <c r="C6" s="98">
        <v>0</v>
      </c>
      <c r="D6" s="98">
        <v>0</v>
      </c>
      <c r="E6" s="98">
        <f t="shared" ref="E6:E7" si="0">C6+D6</f>
        <v>0</v>
      </c>
      <c r="F6" s="98">
        <f>'TARIFAS 2024'!J11</f>
        <v>0.39694999999999997</v>
      </c>
      <c r="G6" s="98">
        <f>'TARIFAS 2024'!K11</f>
        <v>0.28093000000000001</v>
      </c>
      <c r="H6" s="98">
        <f t="shared" ref="H6:H8" si="1">F6+G6</f>
        <v>0.67788000000000004</v>
      </c>
      <c r="I6" s="98" t="e">
        <f t="shared" ref="I6:J8" si="2">((C6*$C$14)+(F6*$D$14))/($D$14+$C$14)</f>
        <v>#REF!</v>
      </c>
      <c r="J6" s="98" t="e">
        <f t="shared" si="2"/>
        <v>#REF!</v>
      </c>
      <c r="K6" s="101" t="e">
        <f t="shared" ref="K6:K8" si="3">I6+J6</f>
        <v>#REF!</v>
      </c>
      <c r="M6" s="9" t="str">
        <f>B1C!M25</f>
        <v>BVM2</v>
      </c>
      <c r="N6" s="10">
        <f>B1C!$N$25</f>
        <v>7.8770000000000007E-2</v>
      </c>
      <c r="Q6" s="102" t="str">
        <f>B6</f>
        <v>B2</v>
      </c>
      <c r="R6" s="98" t="e">
        <f>#REF!</f>
        <v>#REF!</v>
      </c>
      <c r="U6" s="98" t="e">
        <f>#REF!</f>
        <v>#REF!</v>
      </c>
      <c r="X6" s="98" t="e">
        <f>((R6*$C$14)+(U6*$D$14))/($D$14+$C$14)</f>
        <v>#REF!</v>
      </c>
    </row>
    <row r="7" spans="1:26" customFormat="1" x14ac:dyDescent="0.3">
      <c r="B7" s="102" t="s">
        <v>11</v>
      </c>
      <c r="C7" s="98">
        <v>0</v>
      </c>
      <c r="D7" s="98">
        <v>0</v>
      </c>
      <c r="E7" s="98">
        <f t="shared" si="0"/>
        <v>0</v>
      </c>
      <c r="F7" s="98">
        <v>0</v>
      </c>
      <c r="G7" s="98">
        <v>0</v>
      </c>
      <c r="H7" s="98">
        <f t="shared" si="1"/>
        <v>0</v>
      </c>
      <c r="I7" s="98" t="e">
        <f t="shared" si="2"/>
        <v>#REF!</v>
      </c>
      <c r="J7" s="98" t="e">
        <f t="shared" si="2"/>
        <v>#REF!</v>
      </c>
      <c r="K7" s="101" t="e">
        <f t="shared" si="3"/>
        <v>#REF!</v>
      </c>
      <c r="M7" s="21" t="str">
        <f>B1C!M26</f>
        <v>Escassez Hídrica</v>
      </c>
      <c r="N7" s="130">
        <f>B1C!$N$26</f>
        <v>0.14199999999999999</v>
      </c>
    </row>
    <row r="8" spans="1:26" customFormat="1" x14ac:dyDescent="0.3">
      <c r="B8" s="149" t="s">
        <v>322</v>
      </c>
      <c r="C8" s="158">
        <v>1.7567285996534902E-4</v>
      </c>
      <c r="D8" s="159">
        <v>3.42973552660492E-3</v>
      </c>
      <c r="E8" s="101">
        <v>3.6054083865702689E-3</v>
      </c>
      <c r="F8" s="101">
        <f>T11</f>
        <v>1.8774721494831901E-4</v>
      </c>
      <c r="G8" s="101">
        <f>U11</f>
        <v>-4.4031307414479802E-3</v>
      </c>
      <c r="H8" s="101">
        <f t="shared" si="1"/>
        <v>-4.2153835264996612E-3</v>
      </c>
      <c r="I8" s="98" t="e">
        <f t="shared" si="2"/>
        <v>#REF!</v>
      </c>
      <c r="J8" s="98" t="e">
        <f t="shared" si="2"/>
        <v>#REF!</v>
      </c>
      <c r="K8" s="101" t="e">
        <f t="shared" si="3"/>
        <v>#REF!</v>
      </c>
      <c r="M8" s="118"/>
      <c r="P8" s="27"/>
      <c r="Q8" s="27"/>
      <c r="R8" s="27"/>
      <c r="S8" s="27"/>
      <c r="T8" s="27"/>
      <c r="U8" s="27"/>
    </row>
    <row r="9" spans="1:26" customFormat="1" x14ac:dyDescent="0.3">
      <c r="B9" s="27"/>
      <c r="C9" s="27"/>
      <c r="D9" s="27"/>
      <c r="E9" s="27"/>
      <c r="F9" s="27"/>
      <c r="G9" s="27"/>
      <c r="H9" s="27"/>
    </row>
    <row r="10" spans="1:26" x14ac:dyDescent="0.3">
      <c r="B10" s="57"/>
      <c r="C10" s="58"/>
      <c r="D10" s="104"/>
      <c r="E10" s="58"/>
      <c r="F10" s="58"/>
      <c r="G10" s="58"/>
      <c r="H10" s="105" t="s">
        <v>223</v>
      </c>
      <c r="I10" s="25"/>
      <c r="L10" s="29" t="s">
        <v>323</v>
      </c>
      <c r="M10" s="31">
        <f>EOMONTH(B14,0)+1</f>
        <v>46143</v>
      </c>
      <c r="P10" s="153" t="s">
        <v>324</v>
      </c>
      <c r="Q10" s="154"/>
      <c r="R10" s="150" t="s">
        <v>325</v>
      </c>
      <c r="S10" s="150" t="s">
        <v>326</v>
      </c>
      <c r="T10" s="150" t="s">
        <v>321</v>
      </c>
      <c r="U10" s="150" t="s">
        <v>327</v>
      </c>
      <c r="V10"/>
      <c r="W10"/>
      <c r="X10"/>
      <c r="Y10"/>
      <c r="Z10"/>
    </row>
    <row r="11" spans="1:26" x14ac:dyDescent="0.3">
      <c r="B11" s="103"/>
      <c r="C11" s="196"/>
      <c r="E11" s="25"/>
      <c r="F11" s="25"/>
      <c r="G11" s="25"/>
      <c r="H11" s="107">
        <f>E14</f>
        <v>46156</v>
      </c>
      <c r="K11" s="797" t="s">
        <v>328</v>
      </c>
      <c r="L11" s="797"/>
      <c r="P11" s="155" t="s">
        <v>329</v>
      </c>
      <c r="Q11" s="156"/>
      <c r="R11" s="152"/>
      <c r="S11" s="152"/>
      <c r="T11" s="158">
        <f>0.187747214948319/1000</f>
        <v>1.8774721494831901E-4</v>
      </c>
      <c r="U11" s="159">
        <f>-4.40313074144798/1000</f>
        <v>-4.4031307414479802E-3</v>
      </c>
      <c r="V11" s="25"/>
      <c r="W11" s="25"/>
      <c r="X11" s="25"/>
      <c r="Y11" s="25"/>
      <c r="Z11" s="25"/>
    </row>
    <row r="12" spans="1:26" x14ac:dyDescent="0.3">
      <c r="B12" s="38"/>
      <c r="H12" s="108"/>
      <c r="K12" s="21" t="str">
        <f>B1C!I24</f>
        <v>VERDE</v>
      </c>
      <c r="L12" s="21" t="str">
        <f>B1C!J24</f>
        <v>BAM</v>
      </c>
    </row>
    <row r="13" spans="1:26" ht="41.4" x14ac:dyDescent="0.3">
      <c r="B13" s="22" t="s">
        <v>219</v>
      </c>
      <c r="C13" s="22" t="s">
        <v>244</v>
      </c>
      <c r="D13" s="22" t="s">
        <v>242</v>
      </c>
      <c r="E13" s="22" t="s">
        <v>222</v>
      </c>
      <c r="F13" s="25"/>
      <c r="G13" s="25"/>
      <c r="H13" s="109"/>
      <c r="I13" s="25"/>
      <c r="J13" s="22" t="s">
        <v>219</v>
      </c>
      <c r="K13" s="22" t="s">
        <v>244</v>
      </c>
      <c r="L13" s="22" t="s">
        <v>242</v>
      </c>
      <c r="M13" s="22" t="s">
        <v>222</v>
      </c>
    </row>
    <row r="14" spans="1:26" x14ac:dyDescent="0.3">
      <c r="A14" s="27" t="s">
        <v>210</v>
      </c>
      <c r="B14" s="122">
        <f>B1C!B26</f>
        <v>46126</v>
      </c>
      <c r="C14" s="32" t="e">
        <f>IF((F2-B14-1)&lt;0,0,(F2-B14-1))</f>
        <v>#REF!</v>
      </c>
      <c r="D14" s="32" t="e">
        <f>E14-F2+1</f>
        <v>#REF!</v>
      </c>
      <c r="E14" s="122">
        <f>B1C!E26</f>
        <v>46156</v>
      </c>
      <c r="F14" s="110"/>
      <c r="G14" s="110"/>
      <c r="H14" s="111"/>
      <c r="I14" s="25"/>
      <c r="J14" s="33">
        <f>B14</f>
        <v>46126</v>
      </c>
      <c r="K14" s="34">
        <f>IF((M10-J14-1)&lt;0,0,(M10-J14-1))</f>
        <v>16</v>
      </c>
      <c r="L14" s="34">
        <f>M14-M10+1</f>
        <v>14</v>
      </c>
      <c r="M14" s="33">
        <f>E14</f>
        <v>46156</v>
      </c>
    </row>
    <row r="15" spans="1:26" customFormat="1" x14ac:dyDescent="0.3">
      <c r="N15" s="128" t="s">
        <v>330</v>
      </c>
      <c r="O15" s="96">
        <v>0.6</v>
      </c>
    </row>
    <row r="16" spans="1:26" ht="42" customHeight="1" x14ac:dyDescent="0.3">
      <c r="B16" s="160" t="s">
        <v>53</v>
      </c>
      <c r="C16" s="160" t="s">
        <v>248</v>
      </c>
      <c r="D16" s="160" t="s">
        <v>249</v>
      </c>
      <c r="E16" s="161" t="s">
        <v>250</v>
      </c>
      <c r="F16" s="161" t="s">
        <v>251</v>
      </c>
      <c r="G16" s="161" t="s">
        <v>252</v>
      </c>
      <c r="H16" s="161" t="s">
        <v>253</v>
      </c>
      <c r="I16" s="161" t="s">
        <v>254</v>
      </c>
      <c r="J16" s="161" t="s">
        <v>255</v>
      </c>
      <c r="K16" s="162" t="s">
        <v>256</v>
      </c>
      <c r="L16" s="160" t="s">
        <v>257</v>
      </c>
      <c r="M16" s="161" t="s">
        <v>258</v>
      </c>
      <c r="N16" s="161" t="s">
        <v>259</v>
      </c>
      <c r="O16" s="161" t="s">
        <v>260</v>
      </c>
    </row>
    <row r="17" spans="2:19" x14ac:dyDescent="0.3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46"/>
      <c r="M17" s="163"/>
      <c r="N17" s="163"/>
      <c r="O17" s="163"/>
      <c r="R17" s="133" t="s">
        <v>331</v>
      </c>
      <c r="S17" s="133" t="s">
        <v>332</v>
      </c>
    </row>
    <row r="18" spans="2:19" x14ac:dyDescent="0.3">
      <c r="B18" s="163" t="s">
        <v>333</v>
      </c>
      <c r="C18" s="164" t="s">
        <v>262</v>
      </c>
      <c r="D18" s="227">
        <v>6610</v>
      </c>
      <c r="E18" s="171">
        <f>(ROUND(D18*K18,2)+ROUND(G18,2)+ROUND(J18,2))/ROUND(D18,4)</f>
        <v>0.43058396369137669</v>
      </c>
      <c r="F18" s="169">
        <f t="shared" ref="F18:F25" si="4">ROUND(D18*E18,2)</f>
        <v>2846.16</v>
      </c>
      <c r="G18" s="169">
        <f t="shared" ref="G18:G25" si="5">((D18*K18)/(1-$N$18-$N$19))*($N$18+$N$19)</f>
        <v>108.47279824013327</v>
      </c>
      <c r="H18" s="176">
        <f t="shared" ref="H18:H25" si="6">(IF($I$18=12%,(D18*K18)/(1-$N$18-$N$19)/(1-$C$41)/$F$41*$C$41,(D18*K18)/(1-$N$18-$N$19)/(1-$I$18)))</f>
        <v>948.71954800004619</v>
      </c>
      <c r="I18" s="168">
        <v>0.12</v>
      </c>
      <c r="J18" s="169">
        <f>ROUND(H18*$I$18,2)</f>
        <v>113.85</v>
      </c>
      <c r="K18" s="171">
        <f>F6</f>
        <v>0.39694999999999997</v>
      </c>
      <c r="L18" s="95" t="s">
        <v>263</v>
      </c>
      <c r="M18" s="169" t="e">
        <f>D73</f>
        <v>#REF!</v>
      </c>
      <c r="N18" s="165">
        <f>B1C!N31</f>
        <v>7.1000000000000004E-3</v>
      </c>
      <c r="O18" s="178" t="e">
        <f>ROUND(M18*N18,2)</f>
        <v>#REF!</v>
      </c>
      <c r="R18" s="137" t="e">
        <f>IF(AND($B$14&lt;$F$2,$E$14&lt;$F$2),R6,IF($B$14&lt;$F$2,X6,U6))</f>
        <v>#REF!</v>
      </c>
      <c r="S18" s="138" t="e">
        <f>D18*R18</f>
        <v>#REF!</v>
      </c>
    </row>
    <row r="19" spans="2:19" x14ac:dyDescent="0.3">
      <c r="B19" s="163" t="s">
        <v>334</v>
      </c>
      <c r="C19" s="164" t="s">
        <v>262</v>
      </c>
      <c r="D19" s="227">
        <v>3162</v>
      </c>
      <c r="E19" s="171">
        <f>(ROUND(D19*K19,2)+ROUND(G19,2)+ROUND(J19,2))/ROUND(D19,4)</f>
        <v>0.30473118279569889</v>
      </c>
      <c r="F19" s="169">
        <f t="shared" si="4"/>
        <v>963.56</v>
      </c>
      <c r="G19" s="169">
        <f t="shared" si="5"/>
        <v>36.723457463292718</v>
      </c>
      <c r="H19" s="176">
        <f t="shared" si="6"/>
        <v>321.18892967475443</v>
      </c>
      <c r="I19" s="163"/>
      <c r="J19" s="169">
        <f t="shared" ref="J19" si="7">H19*$I$18</f>
        <v>38.542671560970533</v>
      </c>
      <c r="K19" s="171">
        <f>G6</f>
        <v>0.28093000000000001</v>
      </c>
      <c r="L19" s="95" t="s">
        <v>265</v>
      </c>
      <c r="M19" s="169" t="e">
        <f>M18</f>
        <v>#REF!</v>
      </c>
      <c r="N19" s="165">
        <f>B1C!N32</f>
        <v>3.2599999999999997E-2</v>
      </c>
      <c r="O19" s="178" t="e">
        <f>ROUND(M19*N19,2)</f>
        <v>#REF!</v>
      </c>
      <c r="R19" s="137" t="e">
        <f>R18</f>
        <v>#REF!</v>
      </c>
      <c r="S19" s="138" t="e">
        <f>D19*R19</f>
        <v>#REF!</v>
      </c>
    </row>
    <row r="20" spans="2:19" x14ac:dyDescent="0.3">
      <c r="B20" s="163" t="s">
        <v>289</v>
      </c>
      <c r="C20" s="164" t="s">
        <v>262</v>
      </c>
      <c r="D20" s="184">
        <f>D18</f>
        <v>6610</v>
      </c>
      <c r="E20" s="171" t="e">
        <f t="shared" ref="E20:E21" si="8">(ROUND(D20*K20,2)+ROUND(G20,2)+ROUND(J20,2))/ROUND(D20,4)</f>
        <v>#REF!</v>
      </c>
      <c r="F20" s="169" t="e">
        <f t="shared" si="4"/>
        <v>#REF!</v>
      </c>
      <c r="G20" s="169" t="e">
        <f t="shared" si="5"/>
        <v>#REF!</v>
      </c>
      <c r="H20" s="176" t="e">
        <f t="shared" si="6"/>
        <v>#REF!</v>
      </c>
      <c r="I20" s="163"/>
      <c r="J20" s="169" t="e">
        <f t="shared" ref="J20:J25" si="9">H20*$I$18</f>
        <v>#REF!</v>
      </c>
      <c r="K20" s="171" t="e">
        <f>IF(AND($B$14&lt;$F$2,$E$14&lt;$F$2),D6,IF($B$14&lt;$F$2,J6,G6))</f>
        <v>#REF!</v>
      </c>
      <c r="L20" s="63"/>
      <c r="M20" s="166"/>
      <c r="N20" s="166"/>
      <c r="O20" s="166"/>
      <c r="R20" s="137"/>
      <c r="S20" s="132" t="e">
        <f>-S19*$O$15</f>
        <v>#REF!</v>
      </c>
    </row>
    <row r="21" spans="2:19" x14ac:dyDescent="0.3">
      <c r="B21" s="163" t="s">
        <v>335</v>
      </c>
      <c r="C21" s="164" t="s">
        <v>262</v>
      </c>
      <c r="D21" s="184">
        <f>D19</f>
        <v>3162</v>
      </c>
      <c r="E21" s="171" t="e">
        <f t="shared" si="8"/>
        <v>#REF!</v>
      </c>
      <c r="F21" s="169" t="e">
        <f t="shared" si="4"/>
        <v>#REF!</v>
      </c>
      <c r="G21" s="169" t="e">
        <f t="shared" si="5"/>
        <v>#REF!</v>
      </c>
      <c r="H21" s="176" t="e">
        <f t="shared" si="6"/>
        <v>#REF!</v>
      </c>
      <c r="I21" s="163"/>
      <c r="J21" s="169" t="e">
        <f t="shared" si="9"/>
        <v>#REF!</v>
      </c>
      <c r="K21" s="171" t="e">
        <f>K20+(K20*(-$O$15))</f>
        <v>#REF!</v>
      </c>
      <c r="O21" s="46"/>
      <c r="S21" s="134" t="e">
        <f>SUM(S18:S20)</f>
        <v>#REF!</v>
      </c>
    </row>
    <row r="22" spans="2:19" x14ac:dyDescent="0.3">
      <c r="B22" s="163" t="s">
        <v>268</v>
      </c>
      <c r="C22" s="164" t="s">
        <v>262</v>
      </c>
      <c r="D22" s="184">
        <f>IF($K$12=M4,(D18*(K14)/(K14+L14)),0)+IF($L$12=M4,(D18*(L14)/(K14+L14)),0)+IF($K$12=M4,(D19*(K14)/(K14+L14)),0)+IF($L$12=M4,(D19*(L14)/(K14+L14)),0)</f>
        <v>4560.2666666666664</v>
      </c>
      <c r="E22" s="171">
        <f>IF($I$18=12%,(K22)/(1-$N$18-$N$19)/(1-$C$41),K22/(1-$N$18-$N$19)/(1-$I$18))</f>
        <v>1.6477422094169501E-2</v>
      </c>
      <c r="F22" s="169">
        <f>ROUND(D22*E22,2)</f>
        <v>75.14</v>
      </c>
      <c r="G22" s="169">
        <f t="shared" si="5"/>
        <v>2.8637905128258523</v>
      </c>
      <c r="H22" s="176">
        <f t="shared" si="6"/>
        <v>25.047146242879339</v>
      </c>
      <c r="I22" s="163"/>
      <c r="J22" s="169">
        <f t="shared" si="9"/>
        <v>3.0056575491455204</v>
      </c>
      <c r="K22" s="171">
        <f>J67</f>
        <v>1.5190337699549732E-2</v>
      </c>
      <c r="L22" s="43"/>
      <c r="N22" s="186"/>
      <c r="O22" s="46"/>
    </row>
    <row r="23" spans="2:19" x14ac:dyDescent="0.3">
      <c r="B23" s="163" t="s">
        <v>269</v>
      </c>
      <c r="C23" s="164" t="s">
        <v>262</v>
      </c>
      <c r="D23" s="184">
        <f>IF($K$12=M5,(D18*(K14)/(K14+L14)),0)+IF($L$12=M5,(D18*(L14)/(K14+L14)),0)+IF($K$12=M5,(D19*(K14)/(K14+L14)),0)+IF($L$12=M5,(D19*(L14)/(K14+L14)),0)</f>
        <v>0</v>
      </c>
      <c r="E23" s="171">
        <f>IF($I$18=12%,(K23)/(1-$N$18-$N$19)/(1-$C$41),K23/(1-$N$18-$N$19)/(1-$I$18))</f>
        <v>4.8411520705335144E-2</v>
      </c>
      <c r="F23" s="169">
        <f t="shared" si="4"/>
        <v>0</v>
      </c>
      <c r="G23" s="169">
        <f t="shared" si="5"/>
        <v>0</v>
      </c>
      <c r="H23" s="176">
        <f t="shared" si="6"/>
        <v>0</v>
      </c>
      <c r="I23" s="163"/>
      <c r="J23" s="169">
        <f t="shared" si="9"/>
        <v>0</v>
      </c>
      <c r="K23" s="171">
        <f t="shared" ref="K23:K25" si="10">J68</f>
        <v>4.4630000000000003E-2</v>
      </c>
      <c r="O23" s="46"/>
    </row>
    <row r="24" spans="2:19" x14ac:dyDescent="0.3">
      <c r="B24" s="163" t="s">
        <v>270</v>
      </c>
      <c r="C24" s="164" t="s">
        <v>262</v>
      </c>
      <c r="D24" s="184">
        <f>IF($K$12=M6,(D18*(K14)/(K14+L14)),0)+IF($L$12=M6,(D18*(L14)/(K14+L14)),0)+IF($K$12=M6,(D19*(K14)/(K14+L14)),0)+IF($L$12=M6,(D19*(L14)/(K14+L14)),0)</f>
        <v>0</v>
      </c>
      <c r="E24" s="171">
        <f>IF($I$18=12%,(K24)/(1-$N$18-$N$19)/(1-$C$41),K24/(1-$N$18-$N$19)/(1-$I$18))</f>
        <v>8.5444218820507498E-2</v>
      </c>
      <c r="F24" s="169">
        <f t="shared" si="4"/>
        <v>0</v>
      </c>
      <c r="G24" s="169">
        <f t="shared" si="5"/>
        <v>0</v>
      </c>
      <c r="H24" s="176">
        <f t="shared" si="6"/>
        <v>0</v>
      </c>
      <c r="I24" s="163"/>
      <c r="J24" s="169">
        <f t="shared" si="9"/>
        <v>0</v>
      </c>
      <c r="K24" s="171">
        <f t="shared" si="10"/>
        <v>7.8770000000000007E-2</v>
      </c>
      <c r="O24" s="46"/>
      <c r="R24" s="173"/>
    </row>
    <row r="25" spans="2:19" x14ac:dyDescent="0.3">
      <c r="B25" s="163" t="s">
        <v>285</v>
      </c>
      <c r="C25" s="164" t="s">
        <v>262</v>
      </c>
      <c r="D25" s="184">
        <f>IF($K$12=M7,(D18*(K14)/(K14+L14)),0)+IF($L$12=M7,(D18*(L14)/(K14+L14)),0)+IF($K$12=M7,(D19*(K14)/(K14+L14)),0)+IF($L$12=M7,(D19*(L14)/(K14+L14)),0)</f>
        <v>0</v>
      </c>
      <c r="E25" s="171">
        <f>IF($I$18=12%,(K25)/(1-$N$18-$N$19)/(1-$C$41),K25/(1-$N$18-$N$19)/(1-$I$18))</f>
        <v>0.15403172619667463</v>
      </c>
      <c r="F25" s="169">
        <f t="shared" si="4"/>
        <v>0</v>
      </c>
      <c r="G25" s="169">
        <f t="shared" si="5"/>
        <v>0</v>
      </c>
      <c r="H25" s="176">
        <f t="shared" si="6"/>
        <v>0</v>
      </c>
      <c r="I25" s="163"/>
      <c r="J25" s="169">
        <f t="shared" si="9"/>
        <v>0</v>
      </c>
      <c r="K25" s="171">
        <f t="shared" si="10"/>
        <v>0.14199999999999999</v>
      </c>
      <c r="N25" s="62"/>
      <c r="O25" s="46"/>
      <c r="R25" s="173"/>
    </row>
    <row r="26" spans="2:19" x14ac:dyDescent="0.3">
      <c r="B26" s="163" t="s">
        <v>307</v>
      </c>
      <c r="C26" s="163"/>
      <c r="D26" s="184"/>
      <c r="E26" s="163"/>
      <c r="F26" s="229"/>
      <c r="G26" s="163"/>
      <c r="H26" s="163"/>
      <c r="I26" s="163"/>
      <c r="J26" s="163"/>
      <c r="K26" s="163"/>
      <c r="O26" s="46"/>
      <c r="S26" s="187">
        <v>0.01</v>
      </c>
    </row>
    <row r="27" spans="2:19" x14ac:dyDescent="0.3">
      <c r="B27" s="163" t="s">
        <v>306</v>
      </c>
      <c r="C27" s="163"/>
      <c r="D27" s="184"/>
      <c r="E27" s="163"/>
      <c r="F27" s="229"/>
      <c r="G27" s="163"/>
      <c r="H27" s="163"/>
      <c r="I27" s="163"/>
      <c r="J27" s="163"/>
      <c r="K27" s="163"/>
      <c r="O27" s="46"/>
      <c r="S27" s="187">
        <v>23.1724</v>
      </c>
    </row>
    <row r="28" spans="2:19" x14ac:dyDescent="0.3">
      <c r="B28" s="163" t="s">
        <v>308</v>
      </c>
      <c r="C28" s="163"/>
      <c r="D28" s="184"/>
      <c r="E28" s="163"/>
      <c r="F28" s="229"/>
      <c r="G28" s="163"/>
      <c r="H28" s="163"/>
      <c r="I28" s="163"/>
      <c r="J28" s="163"/>
      <c r="K28" s="163"/>
      <c r="O28" s="46"/>
      <c r="S28" s="187"/>
    </row>
    <row r="29" spans="2:19" x14ac:dyDescent="0.3">
      <c r="B29" s="163" t="s">
        <v>336</v>
      </c>
      <c r="C29" s="163"/>
      <c r="D29" s="184"/>
      <c r="E29" s="163"/>
      <c r="F29" s="229"/>
      <c r="G29" s="163"/>
      <c r="H29" s="163"/>
      <c r="I29" s="163"/>
      <c r="J29" s="163"/>
      <c r="K29" s="163"/>
      <c r="O29" s="46"/>
      <c r="S29" s="187"/>
    </row>
    <row r="30" spans="2:19" x14ac:dyDescent="0.3">
      <c r="B30" s="163" t="s">
        <v>272</v>
      </c>
      <c r="C30" s="163"/>
      <c r="D30" s="184"/>
      <c r="E30" s="163"/>
      <c r="F30" s="229"/>
      <c r="G30" s="163"/>
      <c r="H30" s="163"/>
      <c r="I30" s="163"/>
      <c r="J30" s="163"/>
      <c r="K30" s="163"/>
      <c r="O30" s="46"/>
    </row>
    <row r="31" spans="2:19" x14ac:dyDescent="0.3">
      <c r="B31" s="163"/>
      <c r="C31" s="163"/>
      <c r="D31" s="184"/>
      <c r="E31" s="163"/>
      <c r="F31" s="163"/>
      <c r="G31" s="163"/>
      <c r="H31" s="163"/>
      <c r="I31" s="163"/>
      <c r="J31" s="163"/>
      <c r="K31" s="163"/>
      <c r="O31" s="46"/>
    </row>
    <row r="32" spans="2:19" x14ac:dyDescent="0.3">
      <c r="B32" s="170" t="s">
        <v>177</v>
      </c>
      <c r="C32" s="166"/>
      <c r="D32" s="185"/>
      <c r="E32" s="166"/>
      <c r="F32" s="172" t="e">
        <f>SUM(F18:F30)</f>
        <v>#REF!</v>
      </c>
      <c r="G32" s="175" t="e">
        <f>SUM(G18:G31)</f>
        <v>#REF!</v>
      </c>
      <c r="H32" s="177" t="e">
        <f>SUM(H18:H31)</f>
        <v>#REF!</v>
      </c>
      <c r="I32" s="166"/>
      <c r="J32" s="177" t="e">
        <f>SUM(J18:J31)</f>
        <v>#REF!</v>
      </c>
      <c r="K32" s="166"/>
      <c r="L32" s="53"/>
      <c r="M32" s="53"/>
      <c r="N32" s="53"/>
      <c r="O32" s="63"/>
    </row>
    <row r="33" spans="1:26" customFormat="1" ht="15" thickBot="1" x14ac:dyDescent="0.35"/>
    <row r="34" spans="1:26" ht="15" thickBot="1" x14ac:dyDescent="0.35">
      <c r="B34" s="189" t="s">
        <v>273</v>
      </c>
      <c r="C34" s="190"/>
      <c r="D34" s="191"/>
      <c r="E34" s="191"/>
      <c r="F34" s="192">
        <f>C34*(D34+E34)+((D19*(D34+E34))*(-$O$15))</f>
        <v>0</v>
      </c>
    </row>
    <row r="35" spans="1:26" s="25" customFormat="1" ht="15" thickBot="1" x14ac:dyDescent="0.35">
      <c r="B35" s="35"/>
      <c r="C35" s="35"/>
      <c r="D35" s="36"/>
      <c r="E35" s="35"/>
      <c r="J35" s="92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s="25" customFormat="1" ht="15" thickBot="1" x14ac:dyDescent="0.35">
      <c r="B36" s="189" t="s">
        <v>337</v>
      </c>
      <c r="C36" s="190"/>
      <c r="D36" s="191"/>
      <c r="E36" s="191"/>
      <c r="F36" s="193" t="e">
        <f>SUM(H53+H65)</f>
        <v>#REF!</v>
      </c>
      <c r="J36" s="9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x14ac:dyDescent="0.3">
      <c r="B37" s="27" t="s">
        <v>338</v>
      </c>
    </row>
    <row r="38" spans="1:26" x14ac:dyDescent="0.3">
      <c r="B38" s="81"/>
      <c r="C38" s="81"/>
      <c r="D38" s="84" t="s">
        <v>339</v>
      </c>
      <c r="F38" s="84"/>
    </row>
    <row r="39" spans="1:26" x14ac:dyDescent="0.3">
      <c r="B39" s="85" t="s">
        <v>263</v>
      </c>
      <c r="C39" s="5">
        <f>N18</f>
        <v>7.1000000000000004E-3</v>
      </c>
      <c r="D39" s="86" t="e">
        <f>((D18*K18)+(D19*K19)+(D19*K19)*(-$O$15)+(D20*K20)+(D21*K21)+(D21*K21)*(-$O$15)+(D22*K22)+(D23*K23)+(D24*K24)+(D25*K25))/(1-F39-F40)</f>
        <v>#REF!</v>
      </c>
      <c r="E39" s="28" t="s">
        <v>340</v>
      </c>
      <c r="F39" s="5">
        <f>C39</f>
        <v>7.1000000000000004E-3</v>
      </c>
      <c r="G39" s="87" t="e">
        <f>D39*F39</f>
        <v>#REF!</v>
      </c>
    </row>
    <row r="40" spans="1:26" x14ac:dyDescent="0.3">
      <c r="B40" s="85" t="s">
        <v>265</v>
      </c>
      <c r="C40" s="5">
        <f>N19</f>
        <v>3.2599999999999997E-2</v>
      </c>
      <c r="D40" s="86" t="e">
        <f>D39</f>
        <v>#REF!</v>
      </c>
      <c r="E40" s="28" t="s">
        <v>340</v>
      </c>
      <c r="F40" s="5">
        <f>C40</f>
        <v>3.2599999999999997E-2</v>
      </c>
      <c r="G40" s="87" t="e">
        <f>D40*F40</f>
        <v>#REF!</v>
      </c>
    </row>
    <row r="41" spans="1:26" x14ac:dyDescent="0.3">
      <c r="A41" s="116" t="s">
        <v>341</v>
      </c>
      <c r="B41" s="85" t="s">
        <v>283</v>
      </c>
      <c r="C41" s="6">
        <v>0.04</v>
      </c>
      <c r="D41" s="88" t="e">
        <f>H41/F41*C41</f>
        <v>#REF!</v>
      </c>
      <c r="E41" s="28" t="s">
        <v>340</v>
      </c>
      <c r="F41" s="179">
        <v>0.12</v>
      </c>
      <c r="G41" s="87" t="e">
        <f>D41*F41</f>
        <v>#REF!</v>
      </c>
      <c r="H41" s="87" t="e">
        <f>((D18*K18)+(D19*K19)+(D19*K19)*(-$O$15)+(D20*K20)+(D21*K21)+(D21*K21)*(-$O$15)+(D22*K22)+(D23*K23)+(D24*K24)+(D25*K25))/(1-F39-F40)/(1-(C41))</f>
        <v>#REF!</v>
      </c>
      <c r="I41" s="134"/>
    </row>
    <row r="42" spans="1:26" x14ac:dyDescent="0.3">
      <c r="B42" s="81"/>
      <c r="C42" s="81"/>
      <c r="D42" s="81"/>
      <c r="E42" s="87"/>
      <c r="F42" s="82"/>
      <c r="G42" s="82"/>
      <c r="H42" s="81"/>
      <c r="I42" s="81"/>
      <c r="J42" s="83"/>
      <c r="K42" s="83"/>
      <c r="L42" s="83"/>
      <c r="M42" s="84"/>
      <c r="N42" s="84"/>
      <c r="O42" s="89"/>
    </row>
    <row r="43" spans="1:26" x14ac:dyDescent="0.3">
      <c r="C43" s="90" t="s">
        <v>342</v>
      </c>
      <c r="D43" s="91" t="s">
        <v>343</v>
      </c>
      <c r="F43"/>
      <c r="G43"/>
      <c r="H43"/>
    </row>
    <row r="44" spans="1:26" x14ac:dyDescent="0.3">
      <c r="C44" s="25"/>
      <c r="D44" s="25" t="s">
        <v>344</v>
      </c>
      <c r="F44" s="25"/>
      <c r="G44" s="25"/>
      <c r="H44" s="25"/>
      <c r="J44" s="25"/>
    </row>
    <row r="45" spans="1:26" customFormat="1" x14ac:dyDescent="0.3"/>
    <row r="46" spans="1:26" x14ac:dyDescent="0.3">
      <c r="B46" s="64"/>
      <c r="C46" s="64"/>
      <c r="D46" s="94"/>
      <c r="E46" s="64"/>
      <c r="F46" s="64"/>
      <c r="G46" s="128" t="s">
        <v>330</v>
      </c>
      <c r="H46" s="96">
        <v>0.6</v>
      </c>
      <c r="I46"/>
    </row>
    <row r="47" spans="1:26" x14ac:dyDescent="0.3">
      <c r="B47" s="784" t="s">
        <v>345</v>
      </c>
      <c r="C47" s="785"/>
      <c r="D47" s="785"/>
      <c r="E47" s="785"/>
      <c r="F47" s="785"/>
      <c r="G47" s="785"/>
      <c r="H47" s="786"/>
      <c r="I47"/>
      <c r="J47" s="25"/>
      <c r="K47" s="25"/>
      <c r="L47" s="25"/>
      <c r="M47" s="25"/>
      <c r="N47" s="129"/>
    </row>
    <row r="48" spans="1:26" x14ac:dyDescent="0.3">
      <c r="B48" s="38"/>
      <c r="D48" s="26" t="s">
        <v>275</v>
      </c>
      <c r="E48" s="26" t="s">
        <v>6</v>
      </c>
      <c r="F48" s="26" t="s">
        <v>7</v>
      </c>
      <c r="G48" s="26" t="s">
        <v>218</v>
      </c>
      <c r="H48" s="95" t="s">
        <v>170</v>
      </c>
      <c r="I48"/>
      <c r="J48" s="117" t="s">
        <v>346</v>
      </c>
      <c r="K48" s="11"/>
      <c r="L48" s="103" t="s">
        <v>347</v>
      </c>
      <c r="M48"/>
      <c r="N48"/>
      <c r="O48"/>
      <c r="P48"/>
    </row>
    <row r="49" spans="1:20" x14ac:dyDescent="0.3">
      <c r="A49" s="27" t="s">
        <v>210</v>
      </c>
      <c r="B49" s="112" t="s">
        <v>291</v>
      </c>
      <c r="C49" s="113"/>
      <c r="D49" s="114"/>
      <c r="E49" s="114"/>
      <c r="F49" s="114"/>
      <c r="G49" s="114"/>
      <c r="H49" s="115" t="e">
        <f>SUM(H51:H68)+SUM(H73:H75)</f>
        <v>#REF!</v>
      </c>
      <c r="I49"/>
      <c r="J49" s="118" t="s">
        <v>218</v>
      </c>
      <c r="K49" s="118" t="s">
        <v>170</v>
      </c>
      <c r="L49" s="118" t="s">
        <v>170</v>
      </c>
      <c r="M49" s="25"/>
    </row>
    <row r="50" spans="1:20" x14ac:dyDescent="0.3">
      <c r="B50" s="38"/>
      <c r="D50" s="26"/>
      <c r="E50" s="26"/>
      <c r="F50" s="26"/>
      <c r="G50" s="26"/>
      <c r="H50" s="46"/>
      <c r="I50"/>
      <c r="J50" s="118"/>
      <c r="K50" s="119"/>
      <c r="L50" s="64"/>
      <c r="M50" s="25"/>
      <c r="R50" s="133" t="s">
        <v>331</v>
      </c>
      <c r="S50" s="133" t="s">
        <v>332</v>
      </c>
    </row>
    <row r="51" spans="1:20" x14ac:dyDescent="0.3">
      <c r="B51" s="38" t="s">
        <v>311</v>
      </c>
      <c r="D51" s="123">
        <f>D18</f>
        <v>6610</v>
      </c>
      <c r="E51" s="41" t="e">
        <f>IF(AND($B$14&lt;$F$2,$E$14&lt;$F$2),C6,IF($B$14&lt;$F$2,I6,F6))</f>
        <v>#REF!</v>
      </c>
      <c r="F51" s="144" t="e">
        <f>IF(AND($B$14&lt;$F$2,$E$14&lt;$F$2),D6,IF($B$14&lt;$F$2,J6,G6))</f>
        <v>#REF!</v>
      </c>
      <c r="G51" s="41" t="e">
        <f>E51+F51</f>
        <v>#REF!</v>
      </c>
      <c r="H51" s="42" t="e">
        <f>ROUND(D51*(E51+F51),2)</f>
        <v>#REF!</v>
      </c>
      <c r="I51"/>
      <c r="J51" s="120" t="e">
        <f>IF(AND($B$14&lt;$F$2,$E$14&lt;$F$2),E7,IF($B$14&lt;$F$2,K7,H7))</f>
        <v>#REF!</v>
      </c>
      <c r="K51" s="121" t="e">
        <f>D51*J51</f>
        <v>#REF!</v>
      </c>
      <c r="L51" s="121" t="e">
        <f>K51-H51</f>
        <v>#REF!</v>
      </c>
      <c r="M51" s="25"/>
      <c r="R51" s="137" t="e">
        <f>IF(AND($B$14&lt;$F$2,$E$14&lt;$F$2),R6,IF($B$14&lt;$F$2,X6,U6))</f>
        <v>#REF!</v>
      </c>
      <c r="S51" s="141" t="e">
        <f>D51*R51</f>
        <v>#REF!</v>
      </c>
      <c r="T51" s="139" t="e">
        <f>SUM(S51:S53)</f>
        <v>#REF!</v>
      </c>
    </row>
    <row r="52" spans="1:20" x14ac:dyDescent="0.3">
      <c r="B52" s="38" t="s">
        <v>348</v>
      </c>
      <c r="D52" s="123">
        <f>D19</f>
        <v>3162</v>
      </c>
      <c r="E52" s="43" t="e">
        <f>E51</f>
        <v>#REF!</v>
      </c>
      <c r="F52" s="144" t="e">
        <f>F51</f>
        <v>#REF!</v>
      </c>
      <c r="G52" s="43" t="e">
        <f>E52+F52</f>
        <v>#REF!</v>
      </c>
      <c r="H52" s="42" t="e">
        <f>ROUND(D52*(E52+F52),2)</f>
        <v>#REF!</v>
      </c>
      <c r="I52"/>
      <c r="J52" s="120" t="e">
        <f>J51</f>
        <v>#REF!</v>
      </c>
      <c r="K52" s="121" t="e">
        <f>D52*J52</f>
        <v>#REF!</v>
      </c>
      <c r="L52" s="121" t="e">
        <f>K52-H52</f>
        <v>#REF!</v>
      </c>
      <c r="M52" s="25"/>
      <c r="R52" s="73" t="e">
        <f>R51</f>
        <v>#REF!</v>
      </c>
      <c r="S52" s="141" t="e">
        <f>D52*R52</f>
        <v>#REF!</v>
      </c>
    </row>
    <row r="53" spans="1:20" x14ac:dyDescent="0.3">
      <c r="B53" s="38" t="s">
        <v>349</v>
      </c>
      <c r="D53" s="47"/>
      <c r="E53" s="43"/>
      <c r="F53" s="43"/>
      <c r="G53" s="43"/>
      <c r="H53" s="42" t="e">
        <f>-H52*$H$46</f>
        <v>#REF!</v>
      </c>
      <c r="I53"/>
      <c r="J53"/>
      <c r="K53" s="25"/>
      <c r="L53" s="25"/>
      <c r="M53" s="25"/>
      <c r="N53" s="25"/>
      <c r="O53" s="25"/>
      <c r="P53" s="25"/>
      <c r="S53" s="132" t="e">
        <f>-S52*$H$46</f>
        <v>#REF!</v>
      </c>
    </row>
    <row r="54" spans="1:20" x14ac:dyDescent="0.3">
      <c r="B54" s="38"/>
      <c r="D54" s="45"/>
      <c r="H54" s="46"/>
      <c r="I54"/>
      <c r="J54"/>
      <c r="K54" s="25"/>
      <c r="L54" s="25"/>
      <c r="M54" s="25"/>
      <c r="N54" s="25"/>
      <c r="O54" s="25"/>
      <c r="P54" s="25"/>
    </row>
    <row r="55" spans="1:20" x14ac:dyDescent="0.3">
      <c r="B55" s="38" t="s">
        <v>268</v>
      </c>
      <c r="D55" s="47">
        <f>IF($K$12=M4,((D51)*(K14)/(K14+L14)),0)+IF($L$12=M4,((D51)*(L14)/(K14+L14)),0)</f>
        <v>3084.6666666666665</v>
      </c>
      <c r="F55" s="48">
        <f>N4</f>
        <v>1.8849999999999999E-2</v>
      </c>
      <c r="G55" s="48"/>
      <c r="H55" s="42">
        <f>ROUND(D55*(E55+F55),2)</f>
        <v>58.15</v>
      </c>
      <c r="I55"/>
      <c r="J55"/>
      <c r="K55"/>
      <c r="L55"/>
      <c r="M55"/>
      <c r="N55" s="25"/>
      <c r="O55" s="25"/>
      <c r="P55" s="25"/>
    </row>
    <row r="56" spans="1:20" x14ac:dyDescent="0.3">
      <c r="B56" s="38" t="s">
        <v>269</v>
      </c>
      <c r="D56" s="47">
        <f>IF($K$12=M5,((D51)*(K14)/(K14+L14)),0)+IF($L$12=M5,((D51)*(L14)/(K14+L14)),0)</f>
        <v>0</v>
      </c>
      <c r="F56" s="48">
        <f>N5</f>
        <v>4.4630000000000003E-2</v>
      </c>
      <c r="G56" s="48"/>
      <c r="H56" s="42">
        <f>ROUND(D56*(E56+F56),2)</f>
        <v>0</v>
      </c>
      <c r="I56"/>
      <c r="J56"/>
      <c r="K56"/>
      <c r="L56"/>
      <c r="M56"/>
      <c r="N56" s="25"/>
      <c r="O56" s="25"/>
      <c r="P56" s="25"/>
    </row>
    <row r="57" spans="1:20" x14ac:dyDescent="0.3">
      <c r="B57" s="38" t="s">
        <v>270</v>
      </c>
      <c r="D57" s="47">
        <f>IF($K$12=M6,((D51)*(K14)/(K14+L14)),0)+IF($L$12=M6,((D51)*(L14)/(K14+L14)),0)</f>
        <v>0</v>
      </c>
      <c r="F57" s="48">
        <f>N6</f>
        <v>7.8770000000000007E-2</v>
      </c>
      <c r="G57" s="48"/>
      <c r="H57" s="42">
        <f>ROUND(D57*(E57+F57),2)</f>
        <v>0</v>
      </c>
      <c r="I57"/>
      <c r="J57"/>
      <c r="L57" s="25"/>
      <c r="M57" s="25"/>
      <c r="N57" s="28" t="s">
        <v>350</v>
      </c>
      <c r="O57" s="25"/>
      <c r="P57" s="25"/>
    </row>
    <row r="58" spans="1:20" x14ac:dyDescent="0.3">
      <c r="B58" s="38" t="s">
        <v>280</v>
      </c>
      <c r="D58" s="47">
        <f>IF($K$12=M7,((D51)*(K14)/(K14+L14)),0)+IF($L$12=M7,((D51)*(L14)/(K14+L14)),0)</f>
        <v>0</v>
      </c>
      <c r="F58" s="48">
        <f>N7</f>
        <v>0.14199999999999999</v>
      </c>
      <c r="G58" s="48"/>
      <c r="H58" s="42">
        <f>ROUND(D58*(E58+F58),2)</f>
        <v>0</v>
      </c>
      <c r="I58"/>
      <c r="J58"/>
      <c r="L58" s="25"/>
      <c r="M58" s="25"/>
      <c r="N58" s="28">
        <v>226889</v>
      </c>
      <c r="O58" s="25"/>
      <c r="P58" s="25"/>
    </row>
    <row r="59" spans="1:20" x14ac:dyDescent="0.3">
      <c r="B59" s="38"/>
      <c r="D59" s="49"/>
      <c r="H59" s="46"/>
      <c r="I59"/>
      <c r="J59"/>
      <c r="L59" s="25"/>
      <c r="M59" s="25"/>
      <c r="N59" s="25"/>
      <c r="O59" s="25"/>
      <c r="P59" s="25"/>
    </row>
    <row r="60" spans="1:20" x14ac:dyDescent="0.3">
      <c r="B60" s="38" t="s">
        <v>351</v>
      </c>
      <c r="D60" s="47">
        <f>IF($K$12=M4,((D52)*(K14)/(K14+L14)),0)+IF($L$12=M4,((D52)*(L14)/(K14+L14)),0)</f>
        <v>1475.6</v>
      </c>
      <c r="F60" s="48">
        <f>F55</f>
        <v>1.8849999999999999E-2</v>
      </c>
      <c r="G60" s="48"/>
      <c r="H60" s="42">
        <f>ROUND(D60*(E60+F60),2)</f>
        <v>27.82</v>
      </c>
      <c r="I60" s="131">
        <f t="shared" ref="I60:I62" si="11">H55+H60</f>
        <v>85.97</v>
      </c>
      <c r="J60"/>
    </row>
    <row r="61" spans="1:20" x14ac:dyDescent="0.3">
      <c r="B61" s="38" t="s">
        <v>352</v>
      </c>
      <c r="D61" s="47">
        <f>IF($K$12=M5,((D52)*(K14)/(K14+L14)),0)+IF($L$12=M5,((D52)*(L14)/(K14+L14)),0)</f>
        <v>0</v>
      </c>
      <c r="F61" s="48">
        <f>F56</f>
        <v>4.4630000000000003E-2</v>
      </c>
      <c r="G61" s="48"/>
      <c r="H61" s="42">
        <f>ROUND(D61*(E61+F61),2)</f>
        <v>0</v>
      </c>
      <c r="I61" s="131">
        <f t="shared" si="11"/>
        <v>0</v>
      </c>
      <c r="J61"/>
      <c r="K61" s="27">
        <f>I61/(1-E73-E74)/(1-C85)</f>
        <v>0</v>
      </c>
    </row>
    <row r="62" spans="1:20" x14ac:dyDescent="0.3">
      <c r="B62" s="38" t="s">
        <v>353</v>
      </c>
      <c r="D62" s="47">
        <f>IF($K$12=M6,((D52)*(K14)/(K14+L14)),0)+IF($L$12=M6,((D52)*(L14)/(K14+L14)),0)</f>
        <v>0</v>
      </c>
      <c r="F62" s="48">
        <f>F57</f>
        <v>7.8770000000000007E-2</v>
      </c>
      <c r="G62" s="48"/>
      <c r="H62" s="42">
        <f>ROUND(D62*(E62+F62),2)</f>
        <v>0</v>
      </c>
      <c r="I62" s="131">
        <f t="shared" si="11"/>
        <v>0</v>
      </c>
      <c r="J62"/>
    </row>
    <row r="63" spans="1:20" x14ac:dyDescent="0.3">
      <c r="B63" s="38" t="s">
        <v>354</v>
      </c>
      <c r="D63" s="47">
        <f>IF($K$12=M7,((D52)*(K14)/(K14+L14)),0)+IF($L$12=M7,((D52)*(L14)/(K14+L14)),0)</f>
        <v>0</v>
      </c>
      <c r="F63" s="48">
        <f>F58</f>
        <v>0.14199999999999999</v>
      </c>
      <c r="G63" s="48"/>
      <c r="H63" s="42">
        <f>ROUND(D63*(E63+F63),2)</f>
        <v>0</v>
      </c>
      <c r="I63" s="131">
        <f>H58+H63</f>
        <v>0</v>
      </c>
      <c r="J63"/>
    </row>
    <row r="64" spans="1:20" x14ac:dyDescent="0.3">
      <c r="B64" s="38"/>
      <c r="D64" s="47"/>
      <c r="F64" s="48"/>
      <c r="G64" s="48"/>
      <c r="H64" s="42"/>
      <c r="I64"/>
      <c r="J64"/>
    </row>
    <row r="65" spans="2:16" x14ac:dyDescent="0.3">
      <c r="B65" s="38" t="s">
        <v>355</v>
      </c>
      <c r="D65" s="47"/>
      <c r="F65" s="48"/>
      <c r="G65" s="48"/>
      <c r="H65" s="42">
        <f>-H60*$H$46</f>
        <v>-16.692</v>
      </c>
      <c r="I65"/>
      <c r="J65"/>
      <c r="L65" s="25"/>
      <c r="M65" s="25"/>
      <c r="N65" s="25"/>
      <c r="O65" s="25"/>
      <c r="P65" s="25"/>
    </row>
    <row r="66" spans="2:16" x14ac:dyDescent="0.3">
      <c r="B66" s="38" t="s">
        <v>356</v>
      </c>
      <c r="D66" s="47"/>
      <c r="F66" s="48"/>
      <c r="G66" s="48"/>
      <c r="H66" s="42">
        <f>-H61*$H$46</f>
        <v>0</v>
      </c>
      <c r="I66"/>
      <c r="J66" s="133" t="s">
        <v>357</v>
      </c>
      <c r="L66" s="25"/>
      <c r="M66" s="25"/>
      <c r="N66" s="25"/>
      <c r="O66" s="25"/>
      <c r="P66" s="25"/>
    </row>
    <row r="67" spans="2:16" x14ac:dyDescent="0.3">
      <c r="B67" s="38" t="s">
        <v>358</v>
      </c>
      <c r="D67" s="47"/>
      <c r="F67" s="48"/>
      <c r="G67" s="48"/>
      <c r="H67" s="42">
        <f>-H62*$H$46</f>
        <v>0</v>
      </c>
      <c r="I67"/>
      <c r="J67" s="188">
        <f>IFERROR((((D55*F55)+(D60*F60))-(D60*F60*$H$46))/(D55+D60), N4)</f>
        <v>1.5190337699549732E-2</v>
      </c>
      <c r="L67" s="25"/>
      <c r="M67" s="25"/>
      <c r="N67" s="25"/>
      <c r="O67" s="25"/>
      <c r="P67" s="25"/>
    </row>
    <row r="68" spans="2:16" x14ac:dyDescent="0.3">
      <c r="B68" s="38" t="s">
        <v>359</v>
      </c>
      <c r="D68" s="49"/>
      <c r="H68" s="42">
        <f>-H63*$H$46</f>
        <v>0</v>
      </c>
      <c r="I68"/>
      <c r="J68" s="188">
        <f t="shared" ref="J68:J69" si="12">IFERROR((((D56*F56)+(D61*F61))-(D61*F61*$H$46))/(D56+D61), N5)</f>
        <v>4.4630000000000003E-2</v>
      </c>
      <c r="L68" s="25"/>
      <c r="M68" s="25"/>
      <c r="N68" s="25"/>
      <c r="O68" s="25"/>
      <c r="P68" s="25"/>
    </row>
    <row r="69" spans="2:16" x14ac:dyDescent="0.3">
      <c r="B69" s="52"/>
      <c r="C69" s="53"/>
      <c r="D69" s="54"/>
      <c r="E69" s="55"/>
      <c r="F69" s="53"/>
      <c r="G69" s="53"/>
      <c r="H69" s="56"/>
      <c r="I69"/>
      <c r="J69" s="188">
        <f t="shared" si="12"/>
        <v>7.8770000000000007E-2</v>
      </c>
      <c r="L69" s="25"/>
      <c r="M69" s="25"/>
      <c r="N69" s="25"/>
      <c r="O69" s="25"/>
      <c r="P69" s="25"/>
    </row>
    <row r="70" spans="2:16" x14ac:dyDescent="0.3">
      <c r="J70" s="188">
        <f>IFERROR((((D58*F58)+(D63*F63))-(D63*F63*$H$46))/(D58+D63), N7)</f>
        <v>0.14199999999999999</v>
      </c>
      <c r="K70" s="157"/>
      <c r="L70" s="25"/>
      <c r="M70" s="25"/>
      <c r="N70" s="25"/>
      <c r="O70" s="25"/>
      <c r="P70" s="25"/>
    </row>
    <row r="71" spans="2:16" x14ac:dyDescent="0.3">
      <c r="B71" s="74"/>
      <c r="C71" s="58"/>
      <c r="D71" s="58"/>
      <c r="E71" s="58"/>
      <c r="F71" s="58"/>
      <c r="G71" s="58"/>
      <c r="H71" s="75"/>
      <c r="I71" s="25"/>
      <c r="K71" s="157"/>
      <c r="L71" s="25"/>
      <c r="M71" s="25"/>
      <c r="N71" s="25"/>
      <c r="O71" s="25"/>
      <c r="P71" s="25"/>
    </row>
    <row r="72" spans="2:16" x14ac:dyDescent="0.3">
      <c r="B72" s="38"/>
      <c r="D72" s="23" t="s">
        <v>314</v>
      </c>
      <c r="E72" s="37"/>
      <c r="F72" s="37"/>
      <c r="G72" s="37"/>
      <c r="H72" s="60"/>
      <c r="I72" s="61"/>
      <c r="K72" s="62"/>
      <c r="L72" s="25"/>
      <c r="M72" s="25"/>
      <c r="N72" s="25"/>
      <c r="O72" s="25"/>
      <c r="P72" s="25"/>
    </row>
    <row r="73" spans="2:16" x14ac:dyDescent="0.3">
      <c r="B73" s="38" t="s">
        <v>282</v>
      </c>
      <c r="D73" s="62" t="e">
        <f>(SUM(H51:H68))/(1-E73-E74)</f>
        <v>#REF!</v>
      </c>
      <c r="E73" s="143">
        <f>N18</f>
        <v>7.1000000000000004E-3</v>
      </c>
      <c r="H73" s="42" t="e">
        <f>D73*E73</f>
        <v>#REF!</v>
      </c>
      <c r="I73" s="62"/>
      <c r="K73" s="157"/>
      <c r="L73" s="25"/>
      <c r="M73" s="25"/>
      <c r="N73" s="25"/>
      <c r="O73" s="25"/>
      <c r="P73" s="25"/>
    </row>
    <row r="74" spans="2:16" x14ac:dyDescent="0.3">
      <c r="B74" s="38" t="s">
        <v>265</v>
      </c>
      <c r="D74" s="62" t="e">
        <f>D73</f>
        <v>#REF!</v>
      </c>
      <c r="E74" s="143">
        <f>N19</f>
        <v>3.2599999999999997E-2</v>
      </c>
      <c r="H74" s="42" t="e">
        <f>D74*E74</f>
        <v>#REF!</v>
      </c>
      <c r="I74" s="62"/>
      <c r="L74" s="25"/>
      <c r="M74" s="25"/>
      <c r="N74" s="25"/>
      <c r="O74" s="25"/>
      <c r="P74" s="25"/>
    </row>
    <row r="75" spans="2:16" x14ac:dyDescent="0.3">
      <c r="B75" s="38" t="s">
        <v>283</v>
      </c>
      <c r="D75" s="132" t="e">
        <f>IF((E75=17%),(D73/(1-E75)),D85)</f>
        <v>#REF!</v>
      </c>
      <c r="E75" s="76">
        <f>I18</f>
        <v>0.12</v>
      </c>
      <c r="H75" s="42" t="e">
        <f>D75*E75</f>
        <v>#REF!</v>
      </c>
      <c r="I75" s="62"/>
      <c r="L75" s="25"/>
      <c r="M75" s="25"/>
      <c r="N75" s="25"/>
      <c r="O75" s="25"/>
      <c r="P75" s="25"/>
    </row>
    <row r="76" spans="2:16" x14ac:dyDescent="0.3">
      <c r="B76" s="52"/>
      <c r="C76" s="53"/>
      <c r="D76" s="53"/>
      <c r="E76" s="53"/>
      <c r="F76" s="53"/>
      <c r="G76" s="53"/>
      <c r="H76" s="63"/>
    </row>
    <row r="77" spans="2:16" x14ac:dyDescent="0.3">
      <c r="B77" s="145" t="s">
        <v>315</v>
      </c>
      <c r="C77" s="146"/>
      <c r="D77" s="147">
        <f>D51+D52</f>
        <v>9772</v>
      </c>
      <c r="E77" s="148" t="e">
        <f>IF(AND($B$14&lt;$F$2,$E$14&lt;$F$2),C8,IF($B$14&lt;$F$2,I8,F8))</f>
        <v>#REF!</v>
      </c>
      <c r="F77" s="148" t="e">
        <f>IF(AND($B$14&lt;$F$2,$E$14&lt;$F$2),D8,IF($B$14&lt;$F$2,J8,G8))</f>
        <v>#REF!</v>
      </c>
      <c r="G77" s="146"/>
      <c r="H77" s="145" t="e">
        <f>D77*(E77+F77)+((D52*(E77+F77))*(-H46))</f>
        <v>#REF!</v>
      </c>
    </row>
    <row r="78" spans="2:16" x14ac:dyDescent="0.3">
      <c r="B78" s="77" t="s">
        <v>337</v>
      </c>
      <c r="C78" s="78"/>
      <c r="D78" s="78"/>
      <c r="E78" s="78"/>
      <c r="F78" s="78"/>
      <c r="G78" s="78"/>
      <c r="H78" s="79" t="e">
        <f>H53+H65</f>
        <v>#REF!</v>
      </c>
      <c r="I78" s="24" t="s">
        <v>360</v>
      </c>
      <c r="J78" s="80"/>
    </row>
    <row r="81" spans="1:16" x14ac:dyDescent="0.3">
      <c r="B81" s="27" t="s">
        <v>361</v>
      </c>
      <c r="M81" s="30"/>
    </row>
    <row r="82" spans="1:16" x14ac:dyDescent="0.3">
      <c r="B82" s="81"/>
      <c r="C82" s="81"/>
      <c r="D82" s="84" t="s">
        <v>339</v>
      </c>
      <c r="F82" s="84"/>
    </row>
    <row r="83" spans="1:16" x14ac:dyDescent="0.3">
      <c r="B83" s="85" t="s">
        <v>263</v>
      </c>
      <c r="C83" s="5">
        <f>E73</f>
        <v>7.1000000000000004E-3</v>
      </c>
      <c r="D83" s="86" t="e">
        <f>SUM(H51:H68)/(1-C83-C84)</f>
        <v>#REF!</v>
      </c>
      <c r="E83" s="28" t="s">
        <v>340</v>
      </c>
      <c r="F83" s="5">
        <f>C83</f>
        <v>7.1000000000000004E-3</v>
      </c>
      <c r="G83" s="87" t="e">
        <f>D83*F83</f>
        <v>#REF!</v>
      </c>
    </row>
    <row r="84" spans="1:16" x14ac:dyDescent="0.3">
      <c r="B84" s="85" t="s">
        <v>265</v>
      </c>
      <c r="C84" s="5">
        <f>E74</f>
        <v>3.2599999999999997E-2</v>
      </c>
      <c r="D84" s="86" t="e">
        <f>D83</f>
        <v>#REF!</v>
      </c>
      <c r="E84" s="28" t="s">
        <v>340</v>
      </c>
      <c r="F84" s="5">
        <f>C84</f>
        <v>3.2599999999999997E-2</v>
      </c>
      <c r="G84" s="87" t="e">
        <f>D84*F84</f>
        <v>#REF!</v>
      </c>
    </row>
    <row r="85" spans="1:16" x14ac:dyDescent="0.3">
      <c r="A85" s="116" t="s">
        <v>341</v>
      </c>
      <c r="B85" s="85" t="s">
        <v>283</v>
      </c>
      <c r="C85" s="6">
        <v>0.04</v>
      </c>
      <c r="D85" s="88" t="e">
        <f>H85/F85*C85</f>
        <v>#REF!</v>
      </c>
      <c r="E85" s="28" t="s">
        <v>340</v>
      </c>
      <c r="F85" s="7">
        <v>0.12</v>
      </c>
      <c r="G85" s="87" t="e">
        <f>D85*F85</f>
        <v>#REF!</v>
      </c>
      <c r="H85" s="87" t="e">
        <f>((SUM(H51:H68))/(1-F83-F84)/(1-(C85)))</f>
        <v>#REF!</v>
      </c>
      <c r="I85" s="134" t="e">
        <f>H85*C85</f>
        <v>#REF!</v>
      </c>
    </row>
    <row r="86" spans="1:16" x14ac:dyDescent="0.3">
      <c r="B86" s="81"/>
      <c r="C86" s="81"/>
      <c r="D86" s="81"/>
      <c r="E86" s="87">
        <f>(O75)/(1-C83-C84-C85)</f>
        <v>0</v>
      </c>
      <c r="F86" s="82"/>
      <c r="G86" s="82"/>
      <c r="H86" s="81"/>
      <c r="I86" s="81"/>
      <c r="J86" s="83"/>
      <c r="K86" s="83"/>
      <c r="L86" s="83"/>
      <c r="M86" s="84"/>
      <c r="N86" s="84"/>
      <c r="O86" s="89"/>
    </row>
    <row r="88" spans="1:16" x14ac:dyDescent="0.3">
      <c r="C88" s="25"/>
      <c r="D88" s="90" t="s">
        <v>342</v>
      </c>
      <c r="E88" s="91" t="s">
        <v>343</v>
      </c>
      <c r="F88" s="92"/>
      <c r="G88" s="25" t="s">
        <v>362</v>
      </c>
      <c r="H88" s="93" t="e">
        <f>H85/F85*C85</f>
        <v>#REF!</v>
      </c>
    </row>
    <row r="89" spans="1:16" x14ac:dyDescent="0.3">
      <c r="C89" s="25"/>
      <c r="D89" s="25"/>
      <c r="E89" s="25" t="s">
        <v>344</v>
      </c>
      <c r="F89" s="25"/>
      <c r="G89" s="25"/>
      <c r="H89" s="25"/>
      <c r="J89" s="25"/>
    </row>
    <row r="90" spans="1:16" x14ac:dyDescent="0.3">
      <c r="L90" s="25"/>
      <c r="M90" s="25"/>
      <c r="N90" s="25"/>
      <c r="O90" s="25"/>
      <c r="P90" s="25"/>
    </row>
    <row r="92" spans="1:16" x14ac:dyDescent="0.3">
      <c r="B92" s="64" t="s">
        <v>363</v>
      </c>
      <c r="D92" s="37"/>
      <c r="E92" s="37"/>
      <c r="F92" s="37"/>
      <c r="G92" s="37"/>
    </row>
    <row r="93" spans="1:16" x14ac:dyDescent="0.3">
      <c r="B93" s="65"/>
      <c r="C93" s="66" t="s">
        <v>170</v>
      </c>
    </row>
    <row r="94" spans="1:16" x14ac:dyDescent="0.3">
      <c r="B94" s="65" t="s">
        <v>190</v>
      </c>
      <c r="C94" s="67" t="e">
        <f>(SUM(F18:F25)-O18-O19-J32)*IF($B$14&lt;$F$2,D134,D106)</f>
        <v>#REF!</v>
      </c>
    </row>
    <row r="95" spans="1:16" x14ac:dyDescent="0.3">
      <c r="B95" s="65" t="s">
        <v>192</v>
      </c>
      <c r="C95" s="67" t="e">
        <f>(SUM(F18:F25)-O18-O19-J32)*IF($B$14&lt;$F$2,F134,F106)</f>
        <v>#REF!</v>
      </c>
      <c r="E95" s="134"/>
    </row>
    <row r="96" spans="1:16" x14ac:dyDescent="0.3">
      <c r="B96" s="65" t="s">
        <v>191</v>
      </c>
      <c r="C96" s="67" t="e">
        <f>(SUM(F18:F25)-O18-O19-J32)*IF($B$14&lt;$F$2,E134,E106)</f>
        <v>#REF!</v>
      </c>
    </row>
    <row r="97" spans="2:7" x14ac:dyDescent="0.3">
      <c r="B97" s="65" t="s">
        <v>235</v>
      </c>
      <c r="C97" s="67" t="e">
        <f>(SUM(F18:F25)-O18-O19-J32)*IF($B$14&lt;$F$2,G134,G106)</f>
        <v>#REF!</v>
      </c>
    </row>
    <row r="98" spans="2:7" x14ac:dyDescent="0.3">
      <c r="B98" s="65" t="s">
        <v>236</v>
      </c>
      <c r="C98" s="67" t="e">
        <f>O18+O19+J32</f>
        <v>#REF!</v>
      </c>
    </row>
    <row r="99" spans="2:7" x14ac:dyDescent="0.3">
      <c r="B99" s="69" t="s">
        <v>237</v>
      </c>
      <c r="C99" s="70" t="e">
        <f>SUM(C94:C98)</f>
        <v>#REF!</v>
      </c>
    </row>
    <row r="101" spans="2:7" x14ac:dyDescent="0.3">
      <c r="B101" s="35">
        <f>B1C!$B$81</f>
        <v>2025</v>
      </c>
      <c r="C101" s="35"/>
      <c r="D101" s="35" t="str">
        <f>B1C!$D$81</f>
        <v>Energia</v>
      </c>
      <c r="E101" s="35" t="str">
        <f>B1C!$E$81</f>
        <v>Transmissão</v>
      </c>
      <c r="F101" s="35" t="str">
        <f>B1C!$F$81</f>
        <v>Distribuição</v>
      </c>
      <c r="G101" s="35" t="str">
        <f>B1C!$G$81</f>
        <v>Setoriais</v>
      </c>
    </row>
    <row r="102" spans="2:7" x14ac:dyDescent="0.3">
      <c r="B102" s="35" t="str">
        <f>B1C!$B$82</f>
        <v>Grupo B</v>
      </c>
      <c r="C102" s="35"/>
      <c r="D102" s="35" t="str">
        <f>B1C!$D$82</f>
        <v>%</v>
      </c>
      <c r="E102" s="35" t="str">
        <f>B1C!$E$82</f>
        <v>%</v>
      </c>
      <c r="F102" s="35" t="str">
        <f>B1C!$F$82</f>
        <v>%</v>
      </c>
      <c r="G102" s="35" t="str">
        <f>B1C!$G$82</f>
        <v>%</v>
      </c>
    </row>
    <row r="103" spans="2:7" x14ac:dyDescent="0.3">
      <c r="B103" s="35"/>
      <c r="C103" s="35"/>
      <c r="D103" s="35"/>
      <c r="E103" s="35"/>
      <c r="F103" s="35"/>
      <c r="G103" s="35"/>
    </row>
    <row r="104" spans="2:7" x14ac:dyDescent="0.3">
      <c r="B104" s="35" t="str">
        <f>B1C!$B$84</f>
        <v>B1 - Residencial</v>
      </c>
      <c r="C104" s="35"/>
      <c r="D104" s="71">
        <f>B1C!$D$84</f>
        <v>0.39769197799808981</v>
      </c>
      <c r="E104" s="71">
        <f>B1C!$E$84</f>
        <v>8.512776690845017E-2</v>
      </c>
      <c r="F104" s="71">
        <f>B1C!$F$84</f>
        <v>0.25265748787228293</v>
      </c>
      <c r="G104" s="71">
        <f>B1C!$G$84</f>
        <v>0.26452276722117707</v>
      </c>
    </row>
    <row r="105" spans="2:7" x14ac:dyDescent="0.3">
      <c r="B105" s="35" t="str">
        <f>B1C!$B$85</f>
        <v>B1 - Residencial Baixa Renda</v>
      </c>
      <c r="C105" s="35"/>
      <c r="D105" s="71">
        <f>B1C!$D$85</f>
        <v>0.51666134768573579</v>
      </c>
      <c r="E105" s="71">
        <f>B1C!$E$85</f>
        <v>0.11059369866547396</v>
      </c>
      <c r="F105" s="71">
        <f>B1C!$F$85</f>
        <v>0.32823985750000007</v>
      </c>
      <c r="G105" s="71">
        <f>B1C!$G$85</f>
        <v>4.4505096148790169E-2</v>
      </c>
    </row>
    <row r="106" spans="2:7" x14ac:dyDescent="0.3">
      <c r="B106" s="35" t="str">
        <f>B1C!$B$86</f>
        <v>B2 - Rural</v>
      </c>
      <c r="C106" s="35"/>
      <c r="D106" s="71">
        <f>B1C!$D$86</f>
        <v>0.39769197799808981</v>
      </c>
      <c r="E106" s="71">
        <f>B1C!$E$86</f>
        <v>8.512776690845017E-2</v>
      </c>
      <c r="F106" s="71">
        <f>B1C!$F$86</f>
        <v>0.25265748787228293</v>
      </c>
      <c r="G106" s="71">
        <f>B1C!$G$86</f>
        <v>0.26452276722117707</v>
      </c>
    </row>
    <row r="107" spans="2:7" x14ac:dyDescent="0.3">
      <c r="B107" s="35" t="str">
        <f>B1C!$B$87</f>
        <v>B2 - Cooperativa Eletrificação Rural</v>
      </c>
      <c r="C107" s="35"/>
      <c r="D107" s="71">
        <f>B1C!$D$87</f>
        <v>0.39769197799808981</v>
      </c>
      <c r="E107" s="71">
        <f>B1C!$E$87</f>
        <v>8.512776690845017E-2</v>
      </c>
      <c r="F107" s="71">
        <f>B1C!$F$87</f>
        <v>0.25265748787228293</v>
      </c>
      <c r="G107" s="71">
        <f>B1C!$G$87</f>
        <v>0.26452276722117707</v>
      </c>
    </row>
    <row r="108" spans="2:7" x14ac:dyDescent="0.3">
      <c r="B108" s="35" t="str">
        <f>B1C!$B$88</f>
        <v>B2 - Serviço de Irrigação</v>
      </c>
      <c r="C108" s="35"/>
      <c r="D108" s="71">
        <f>B1C!$D$88</f>
        <v>0.39769197799808981</v>
      </c>
      <c r="E108" s="71">
        <f>B1C!$E$88</f>
        <v>8.512776690845017E-2</v>
      </c>
      <c r="F108" s="71">
        <f>B1C!$F$88</f>
        <v>0.25265748787228293</v>
      </c>
      <c r="G108" s="71">
        <f>B1C!$G$88</f>
        <v>0.26452276722117707</v>
      </c>
    </row>
    <row r="109" spans="2:7" x14ac:dyDescent="0.3">
      <c r="B109" s="35" t="str">
        <f>B1C!$B$89</f>
        <v>B3 - Demais Classes</v>
      </c>
      <c r="C109" s="35"/>
      <c r="D109" s="71">
        <f>B1C!$D$89</f>
        <v>0.39769197799808981</v>
      </c>
      <c r="E109" s="71">
        <f>B1C!$E$89</f>
        <v>8.512776690845017E-2</v>
      </c>
      <c r="F109" s="71">
        <f>B1C!$F$89</f>
        <v>0.25265748787228293</v>
      </c>
      <c r="G109" s="71">
        <f>B1C!$G$89</f>
        <v>0.26452276722117707</v>
      </c>
    </row>
    <row r="110" spans="2:7" x14ac:dyDescent="0.3">
      <c r="B110" s="35" t="str">
        <f>B1C!$B$90</f>
        <v>B4 - Iluminação Pública</v>
      </c>
      <c r="C110" s="35"/>
      <c r="D110" s="71">
        <f>B1C!$D$90</f>
        <v>0.39769197799808981</v>
      </c>
      <c r="E110" s="71">
        <f>B1C!$E$90</f>
        <v>8.512776690845017E-2</v>
      </c>
      <c r="F110" s="71">
        <f>B1C!$F$90</f>
        <v>0.25265748787228293</v>
      </c>
      <c r="G110" s="71">
        <f>B1C!$G$90</f>
        <v>0.26452276722117707</v>
      </c>
    </row>
    <row r="111" spans="2:7" x14ac:dyDescent="0.3">
      <c r="B111" s="35" t="str">
        <f>B1C!$B$91</f>
        <v>B4a - Rede de Distribuição</v>
      </c>
      <c r="C111" s="35"/>
      <c r="D111" s="71">
        <f>B1C!$D$91</f>
        <v>0.39769197799808981</v>
      </c>
      <c r="E111" s="71">
        <f>B1C!$E$91</f>
        <v>8.512776690845017E-2</v>
      </c>
      <c r="F111" s="71">
        <f>B1C!$F$91</f>
        <v>0.25265748787228293</v>
      </c>
      <c r="G111" s="71">
        <f>B1C!$G$91</f>
        <v>0.26452276722117707</v>
      </c>
    </row>
    <row r="112" spans="2:7" x14ac:dyDescent="0.3">
      <c r="B112" s="35" t="str">
        <f>B1C!$B$92</f>
        <v>B4b - Bulbo de Lâmpada</v>
      </c>
      <c r="C112" s="35"/>
      <c r="D112" s="71">
        <f>B1C!$D$92</f>
        <v>0.39769197799808981</v>
      </c>
      <c r="E112" s="71">
        <f>B1C!$E$92</f>
        <v>8.512776690845017E-2</v>
      </c>
      <c r="F112" s="71">
        <f>B1C!$F$92</f>
        <v>0.25265748787228293</v>
      </c>
      <c r="G112" s="71">
        <f>B1C!$G$92</f>
        <v>0.26452276722117707</v>
      </c>
    </row>
    <row r="113" spans="2:7" x14ac:dyDescent="0.3">
      <c r="B113" s="64"/>
      <c r="C113" s="64"/>
      <c r="D113" s="64"/>
      <c r="E113" s="64"/>
      <c r="F113" s="64"/>
      <c r="G113" s="64"/>
    </row>
    <row r="114" spans="2:7" x14ac:dyDescent="0.3">
      <c r="B114" s="64"/>
      <c r="C114" s="64"/>
      <c r="D114" s="64"/>
      <c r="E114" s="64"/>
      <c r="F114" s="64"/>
      <c r="G114" s="64"/>
    </row>
    <row r="115" spans="2:7" x14ac:dyDescent="0.3">
      <c r="B115" s="64">
        <f>B1C!$B$95</f>
        <v>2024</v>
      </c>
      <c r="C115" s="64"/>
      <c r="D115" s="35" t="str">
        <f>B1C!$D$81</f>
        <v>Energia</v>
      </c>
      <c r="E115" s="35" t="str">
        <f>B1C!$E$81</f>
        <v>Transmissão</v>
      </c>
      <c r="F115" s="35" t="str">
        <f>B1C!$F$81</f>
        <v>Distribuição</v>
      </c>
      <c r="G115" s="35" t="str">
        <f>B1C!$G$81</f>
        <v>Setoriais</v>
      </c>
    </row>
    <row r="116" spans="2:7" x14ac:dyDescent="0.3">
      <c r="B116" s="64" t="str">
        <f>B1C!$B$96</f>
        <v>Grupo B</v>
      </c>
      <c r="C116" s="64"/>
      <c r="D116" s="35" t="str">
        <f>B1C!$D$82</f>
        <v>%</v>
      </c>
      <c r="E116" s="35" t="str">
        <f>B1C!$E$82</f>
        <v>%</v>
      </c>
      <c r="F116" s="35" t="str">
        <f>B1C!$F$82</f>
        <v>%</v>
      </c>
      <c r="G116" s="35" t="str">
        <f>B1C!$G$82</f>
        <v>%</v>
      </c>
    </row>
    <row r="117" spans="2:7" x14ac:dyDescent="0.3">
      <c r="B117" s="35"/>
      <c r="C117" s="35"/>
      <c r="D117" s="35"/>
      <c r="E117" s="35"/>
      <c r="F117" s="35"/>
      <c r="G117" s="35"/>
    </row>
    <row r="118" spans="2:7" x14ac:dyDescent="0.3">
      <c r="B118" s="35" t="str">
        <f>B1C!$B$98</f>
        <v>B1 - Residencial</v>
      </c>
      <c r="C118" s="35"/>
      <c r="D118" s="71">
        <f>B1C!$D$98</f>
        <v>0.41270000000000001</v>
      </c>
      <c r="E118" s="71">
        <f>B1C!$E$98</f>
        <v>9.8500000000000004E-2</v>
      </c>
      <c r="F118" s="71">
        <f>B1C!$F$98</f>
        <v>0.29160000000000003</v>
      </c>
      <c r="G118" s="71">
        <f>B1C!$G$98</f>
        <v>0.1971</v>
      </c>
    </row>
    <row r="119" spans="2:7" x14ac:dyDescent="0.3">
      <c r="B119" s="35" t="str">
        <f>B1C!$B$99</f>
        <v>B1 - Residencial Baixa Renda</v>
      </c>
      <c r="C119" s="35"/>
      <c r="D119" s="71">
        <f>B1C!$D$99</f>
        <v>0.49309999999999998</v>
      </c>
      <c r="E119" s="71">
        <f>B1C!$E$99</f>
        <v>0.1177</v>
      </c>
      <c r="F119" s="71">
        <f>B1C!$F$99</f>
        <v>0.34839999999999999</v>
      </c>
      <c r="G119" s="71">
        <f>B1C!$G$99</f>
        <v>4.0800000000000003E-2</v>
      </c>
    </row>
    <row r="120" spans="2:7" x14ac:dyDescent="0.3">
      <c r="B120" s="35" t="str">
        <f>B1C!$B$100</f>
        <v>B2 - Rural</v>
      </c>
      <c r="C120" s="35"/>
      <c r="D120" s="71">
        <f>B1C!$D$100</f>
        <v>0.41270000000000001</v>
      </c>
      <c r="E120" s="71">
        <f>B1C!$E$100</f>
        <v>9.8500000000000004E-2</v>
      </c>
      <c r="F120" s="71">
        <f>B1C!$F$100</f>
        <v>0.29160000000000003</v>
      </c>
      <c r="G120" s="71">
        <f>B1C!$G$100</f>
        <v>0.1971</v>
      </c>
    </row>
    <row r="121" spans="2:7" x14ac:dyDescent="0.3">
      <c r="B121" s="35" t="str">
        <f>B1C!$B$101</f>
        <v>B2 - Cooperativa Eletrificação Rural</v>
      </c>
      <c r="C121" s="35"/>
      <c r="D121" s="71">
        <f>B1C!$D$101</f>
        <v>0.41270000000000001</v>
      </c>
      <c r="E121" s="71">
        <f>B1C!$E$101</f>
        <v>9.8500000000000004E-2</v>
      </c>
      <c r="F121" s="71">
        <f>B1C!$F$101</f>
        <v>0.29160000000000003</v>
      </c>
      <c r="G121" s="71">
        <f>B1C!$G$101</f>
        <v>0.1971</v>
      </c>
    </row>
    <row r="122" spans="2:7" x14ac:dyDescent="0.3">
      <c r="B122" s="35" t="str">
        <f>B1C!$B$102</f>
        <v>B2 - Serviço de Irrigação</v>
      </c>
      <c r="C122" s="35"/>
      <c r="D122" s="71">
        <f>B1C!$D$102</f>
        <v>0.41270000000000001</v>
      </c>
      <c r="E122" s="71">
        <f>B1C!$E$102</f>
        <v>9.8500000000000004E-2</v>
      </c>
      <c r="F122" s="71">
        <f>B1C!$F$102</f>
        <v>0.29160000000000003</v>
      </c>
      <c r="G122" s="71">
        <f>B1C!$G$102</f>
        <v>0.1971</v>
      </c>
    </row>
    <row r="123" spans="2:7" x14ac:dyDescent="0.3">
      <c r="B123" s="35" t="str">
        <f>B1C!$B$103</f>
        <v>B3 - Demais Classes</v>
      </c>
      <c r="C123" s="35"/>
      <c r="D123" s="71">
        <f>B1C!$D$103</f>
        <v>0.41270000000000001</v>
      </c>
      <c r="E123" s="71">
        <f>B1C!$E$103</f>
        <v>9.8500000000000004E-2</v>
      </c>
      <c r="F123" s="71">
        <f>B1C!$F$103</f>
        <v>0.29160000000000003</v>
      </c>
      <c r="G123" s="71">
        <f>B1C!$G$103</f>
        <v>0.1971</v>
      </c>
    </row>
    <row r="124" spans="2:7" x14ac:dyDescent="0.3">
      <c r="B124" s="35" t="str">
        <f>B1C!$B$104</f>
        <v>B4 - Iluminação Pública</v>
      </c>
      <c r="C124" s="35"/>
      <c r="D124" s="71">
        <f>B1C!$D$104</f>
        <v>0.41270000000000001</v>
      </c>
      <c r="E124" s="71">
        <f>B1C!$E$104</f>
        <v>9.8500000000000004E-2</v>
      </c>
      <c r="F124" s="71">
        <f>B1C!$F$104</f>
        <v>0.29160000000000003</v>
      </c>
      <c r="G124" s="71">
        <f>B1C!$G$104</f>
        <v>0.1971</v>
      </c>
    </row>
    <row r="125" spans="2:7" x14ac:dyDescent="0.3">
      <c r="B125" s="35" t="str">
        <f>B1C!$B$105</f>
        <v>B4a - Rede de Distribuição</v>
      </c>
      <c r="C125" s="35"/>
      <c r="D125" s="71">
        <f>B1C!$D$105</f>
        <v>0.41270000000000001</v>
      </c>
      <c r="E125" s="71">
        <f>B1C!$E$105</f>
        <v>9.8500000000000004E-2</v>
      </c>
      <c r="F125" s="71">
        <f>B1C!$F$105</f>
        <v>0.29160000000000003</v>
      </c>
      <c r="G125" s="71">
        <f>B1C!$G$105</f>
        <v>0.1971</v>
      </c>
    </row>
    <row r="126" spans="2:7" x14ac:dyDescent="0.3">
      <c r="B126" s="35" t="str">
        <f>B1C!$B$106</f>
        <v>B4b - Bulbo de Lâmpada</v>
      </c>
      <c r="C126" s="35"/>
      <c r="D126" s="71">
        <f>B1C!$D$106</f>
        <v>0.41270000000000001</v>
      </c>
      <c r="E126" s="71">
        <f>B1C!$E$106</f>
        <v>9.8500000000000004E-2</v>
      </c>
      <c r="F126" s="71">
        <f>B1C!$F$106</f>
        <v>0.29160000000000003</v>
      </c>
      <c r="G126" s="71">
        <f>B1C!$G$106</f>
        <v>0.1971</v>
      </c>
    </row>
    <row r="127" spans="2:7" x14ac:dyDescent="0.3">
      <c r="B127" s="64"/>
      <c r="C127" s="64"/>
      <c r="D127" s="64"/>
      <c r="E127" s="64"/>
      <c r="F127" s="64"/>
      <c r="G127" s="64"/>
    </row>
    <row r="128" spans="2:7" x14ac:dyDescent="0.3">
      <c r="B128" s="72" t="s">
        <v>364</v>
      </c>
      <c r="C128" s="64"/>
      <c r="D128" s="64"/>
      <c r="E128" s="64"/>
      <c r="F128" s="64"/>
      <c r="G128" s="64"/>
    </row>
    <row r="129" spans="2:7" x14ac:dyDescent="0.3">
      <c r="B129" s="35"/>
      <c r="C129" s="35"/>
      <c r="D129" s="35" t="s">
        <v>190</v>
      </c>
      <c r="E129" s="35" t="s">
        <v>191</v>
      </c>
      <c r="F129" s="35" t="s">
        <v>192</v>
      </c>
      <c r="G129" s="35" t="s">
        <v>193</v>
      </c>
    </row>
    <row r="130" spans="2:7" x14ac:dyDescent="0.3">
      <c r="B130" s="35" t="s">
        <v>194</v>
      </c>
      <c r="C130" s="35"/>
      <c r="D130" s="71" t="s">
        <v>195</v>
      </c>
      <c r="E130" s="71" t="s">
        <v>195</v>
      </c>
      <c r="F130" s="71" t="s">
        <v>195</v>
      </c>
      <c r="G130" s="71" t="s">
        <v>195</v>
      </c>
    </row>
    <row r="131" spans="2:7" x14ac:dyDescent="0.3">
      <c r="B131" s="35"/>
      <c r="C131" s="35"/>
      <c r="D131" s="71"/>
      <c r="E131" s="71"/>
      <c r="F131" s="71"/>
      <c r="G131" s="71"/>
    </row>
    <row r="132" spans="2:7" x14ac:dyDescent="0.3">
      <c r="B132" s="35" t="s">
        <v>196</v>
      </c>
      <c r="C132" s="35"/>
      <c r="D132" s="71" t="e">
        <f>((D118*$C$14)+(D104*$D$14))/($C$14+$D$14)</f>
        <v>#REF!</v>
      </c>
      <c r="E132" s="71" t="e">
        <f t="shared" ref="E132:G132" si="13">((E118*$C$14)+(E104*$D$14))/($C$14+$D$14)</f>
        <v>#REF!</v>
      </c>
      <c r="F132" s="71" t="e">
        <f t="shared" si="13"/>
        <v>#REF!</v>
      </c>
      <c r="G132" s="71" t="e">
        <f t="shared" si="13"/>
        <v>#REF!</v>
      </c>
    </row>
    <row r="133" spans="2:7" x14ac:dyDescent="0.3">
      <c r="B133" s="35" t="s">
        <v>197</v>
      </c>
      <c r="C133" s="35"/>
      <c r="D133" s="71" t="e">
        <f t="shared" ref="D133:G140" si="14">((D119*$C$14)+(D105*$D$14))/($C$14+$D$14)</f>
        <v>#REF!</v>
      </c>
      <c r="E133" s="71" t="e">
        <f t="shared" si="14"/>
        <v>#REF!</v>
      </c>
      <c r="F133" s="71" t="e">
        <f t="shared" si="14"/>
        <v>#REF!</v>
      </c>
      <c r="G133" s="71" t="e">
        <f t="shared" si="14"/>
        <v>#REF!</v>
      </c>
    </row>
    <row r="134" spans="2:7" x14ac:dyDescent="0.3">
      <c r="B134" s="35" t="s">
        <v>198</v>
      </c>
      <c r="C134" s="35"/>
      <c r="D134" s="71" t="e">
        <f t="shared" si="14"/>
        <v>#REF!</v>
      </c>
      <c r="E134" s="71" t="e">
        <f t="shared" si="14"/>
        <v>#REF!</v>
      </c>
      <c r="F134" s="71" t="e">
        <f t="shared" si="14"/>
        <v>#REF!</v>
      </c>
      <c r="G134" s="71" t="e">
        <f t="shared" si="14"/>
        <v>#REF!</v>
      </c>
    </row>
    <row r="135" spans="2:7" x14ac:dyDescent="0.3">
      <c r="B135" s="35" t="s">
        <v>199</v>
      </c>
      <c r="C135" s="35"/>
      <c r="D135" s="71" t="e">
        <f t="shared" si="14"/>
        <v>#REF!</v>
      </c>
      <c r="E135" s="71" t="e">
        <f t="shared" si="14"/>
        <v>#REF!</v>
      </c>
      <c r="F135" s="71" t="e">
        <f t="shared" si="14"/>
        <v>#REF!</v>
      </c>
      <c r="G135" s="71" t="e">
        <f t="shared" si="14"/>
        <v>#REF!</v>
      </c>
    </row>
    <row r="136" spans="2:7" x14ac:dyDescent="0.3">
      <c r="B136" s="35" t="s">
        <v>200</v>
      </c>
      <c r="C136" s="35"/>
      <c r="D136" s="71" t="e">
        <f t="shared" si="14"/>
        <v>#REF!</v>
      </c>
      <c r="E136" s="71" t="e">
        <f t="shared" si="14"/>
        <v>#REF!</v>
      </c>
      <c r="F136" s="71" t="e">
        <f t="shared" si="14"/>
        <v>#REF!</v>
      </c>
      <c r="G136" s="71" t="e">
        <f t="shared" si="14"/>
        <v>#REF!</v>
      </c>
    </row>
    <row r="137" spans="2:7" x14ac:dyDescent="0.3">
      <c r="B137" s="35" t="s">
        <v>201</v>
      </c>
      <c r="C137" s="35"/>
      <c r="D137" s="71" t="e">
        <f t="shared" si="14"/>
        <v>#REF!</v>
      </c>
      <c r="E137" s="71" t="e">
        <f t="shared" si="14"/>
        <v>#REF!</v>
      </c>
      <c r="F137" s="71" t="e">
        <f t="shared" si="14"/>
        <v>#REF!</v>
      </c>
      <c r="G137" s="71" t="e">
        <f t="shared" si="14"/>
        <v>#REF!</v>
      </c>
    </row>
    <row r="138" spans="2:7" x14ac:dyDescent="0.3">
      <c r="B138" s="35" t="s">
        <v>202</v>
      </c>
      <c r="C138" s="35"/>
      <c r="D138" s="71" t="e">
        <f t="shared" si="14"/>
        <v>#REF!</v>
      </c>
      <c r="E138" s="71" t="e">
        <f t="shared" si="14"/>
        <v>#REF!</v>
      </c>
      <c r="F138" s="71" t="e">
        <f t="shared" si="14"/>
        <v>#REF!</v>
      </c>
      <c r="G138" s="71" t="e">
        <f t="shared" si="14"/>
        <v>#REF!</v>
      </c>
    </row>
    <row r="139" spans="2:7" x14ac:dyDescent="0.3">
      <c r="B139" s="35" t="s">
        <v>203</v>
      </c>
      <c r="C139" s="35"/>
      <c r="D139" s="71" t="e">
        <f t="shared" si="14"/>
        <v>#REF!</v>
      </c>
      <c r="E139" s="71" t="e">
        <f t="shared" si="14"/>
        <v>#REF!</v>
      </c>
      <c r="F139" s="71" t="e">
        <f t="shared" si="14"/>
        <v>#REF!</v>
      </c>
      <c r="G139" s="71" t="e">
        <f t="shared" si="14"/>
        <v>#REF!</v>
      </c>
    </row>
    <row r="140" spans="2:7" x14ac:dyDescent="0.3">
      <c r="B140" s="35" t="s">
        <v>204</v>
      </c>
      <c r="C140" s="35"/>
      <c r="D140" s="71" t="e">
        <f t="shared" si="14"/>
        <v>#REF!</v>
      </c>
      <c r="E140" s="71" t="e">
        <f t="shared" si="14"/>
        <v>#REF!</v>
      </c>
      <c r="F140" s="71" t="e">
        <f t="shared" si="14"/>
        <v>#REF!</v>
      </c>
      <c r="G140" s="71" t="e">
        <f t="shared" si="14"/>
        <v>#REF!</v>
      </c>
    </row>
  </sheetData>
  <customSheetViews>
    <customSheetView guid="{D812A0C8-60A1-4775-A604-FC65C9DC40BF}" scale="60" showGridLines="0" topLeftCell="A2">
      <selection activeCell="G39" sqref="G39"/>
      <pageMargins left="0" right="0" top="0" bottom="0" header="0" footer="0"/>
      <pageSetup orientation="portrait" r:id="rId1"/>
    </customSheetView>
    <customSheetView guid="{8D3CE498-0ABB-4BB0-92D1-93DA2BDD5EDF}" scale="80" showGridLines="0" topLeftCell="A3">
      <selection activeCell="C8" sqref="C8:D8"/>
      <pageMargins left="0" right="0" top="0" bottom="0" header="0" footer="0"/>
      <pageSetup orientation="portrait" r:id="rId2"/>
    </customSheetView>
    <customSheetView guid="{455EF305-F4BF-4162-9D3A-67B1D57A792B}" scale="80" showGridLines="0" topLeftCell="A29">
      <selection activeCell="H53" sqref="H53"/>
      <pageMargins left="0" right="0" top="0" bottom="0" header="0" footer="0"/>
      <pageSetup orientation="portrait" r:id="rId3"/>
    </customSheetView>
    <customSheetView guid="{AED82DA2-4B0E-4368-BF7F-A78E16192BBB}" scale="80" showGridLines="0" topLeftCell="A15">
      <selection activeCell="B29" sqref="B29"/>
      <pageMargins left="0" right="0" top="0" bottom="0" header="0" footer="0"/>
      <pageSetup orientation="portrait" r:id="rId4"/>
    </customSheetView>
    <customSheetView guid="{8AD5A21B-3743-481B-8B5E-3FEE10EB7B2F}" scale="80" showGridLines="0">
      <selection activeCell="I36" sqref="I36"/>
      <pageMargins left="0" right="0" top="0" bottom="0" header="0" footer="0"/>
      <pageSetup orientation="portrait" r:id="rId5"/>
    </customSheetView>
  </customSheetViews>
  <mergeCells count="10">
    <mergeCell ref="B47:H47"/>
    <mergeCell ref="B4:B5"/>
    <mergeCell ref="C4:E4"/>
    <mergeCell ref="F4:H4"/>
    <mergeCell ref="I4:K4"/>
    <mergeCell ref="Q4:Q5"/>
    <mergeCell ref="R4:T4"/>
    <mergeCell ref="U4:W4"/>
    <mergeCell ref="X4:Z4"/>
    <mergeCell ref="K11:L11"/>
  </mergeCells>
  <conditionalFormatting sqref="K12:L12">
    <cfRule type="cellIs" dxfId="139" priority="1" operator="equal">
      <formula>"Escassez Hídrica"</formula>
    </cfRule>
    <cfRule type="cellIs" dxfId="138" priority="2" operator="equal">
      <formula>"VERDE"</formula>
    </cfRule>
    <cfRule type="cellIs" dxfId="137" priority="3" operator="equal">
      <formula>"BVM2"</formula>
    </cfRule>
    <cfRule type="cellIs" dxfId="136" priority="4" operator="equal">
      <formula>"BVM1"</formula>
    </cfRule>
    <cfRule type="cellIs" dxfId="135" priority="5" operator="equal">
      <formula>"BAM"</formula>
    </cfRule>
  </conditionalFormatting>
  <conditionalFormatting sqref="M3">
    <cfRule type="cellIs" dxfId="134" priority="24" operator="equal">
      <formula>"VERDE"</formula>
    </cfRule>
    <cfRule type="cellIs" dxfId="133" priority="25" operator="equal">
      <formula>"BVM2"</formula>
    </cfRule>
    <cfRule type="cellIs" dxfId="132" priority="26" operator="equal">
      <formula>"BVM1"</formula>
    </cfRule>
    <cfRule type="cellIs" dxfId="131" priority="27" operator="equal">
      <formula>"BAM"</formula>
    </cfRule>
  </conditionalFormatting>
  <conditionalFormatting sqref="M7:M8">
    <cfRule type="containsText" dxfId="130" priority="11" operator="containsText" text="Escassez Hídrica">
      <formula>NOT(ISERROR(SEARCH("Escassez Hídrica",M7)))</formula>
    </cfRule>
    <cfRule type="cellIs" dxfId="129" priority="12" operator="equal">
      <formula>"VERDE"</formula>
    </cfRule>
    <cfRule type="cellIs" dxfId="128" priority="13" operator="equal">
      <formula>"BVM2"</formula>
    </cfRule>
    <cfRule type="cellIs" dxfId="127" priority="14" operator="equal">
      <formula>"BVM1"</formula>
    </cfRule>
    <cfRule type="cellIs" dxfId="126" priority="15" operator="equal">
      <formula>"BAM"</formula>
    </cfRule>
  </conditionalFormatting>
  <dataValidations count="1">
    <dataValidation type="list" allowBlank="1" showInputMessage="1" showErrorMessage="1" sqref="K12:L12" xr:uid="{00000000-0002-0000-0C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6"/>
  <ignoredErrors>
    <ignoredError sqref="K20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>
    <tabColor rgb="FFFFC000"/>
  </sheetPr>
  <dimension ref="A1:Y135"/>
  <sheetViews>
    <sheetView showGridLines="0" topLeftCell="A16" zoomScale="80" zoomScaleNormal="80" workbookViewId="0">
      <selection activeCell="I30" sqref="I30"/>
    </sheetView>
  </sheetViews>
  <sheetFormatPr defaultColWidth="9.21875" defaultRowHeight="14.4" x14ac:dyDescent="0.3"/>
  <cols>
    <col min="1" max="1" width="5.44140625" style="27" customWidth="1"/>
    <col min="2" max="2" width="29.77734375" style="27" customWidth="1"/>
    <col min="3" max="10" width="12.77734375" style="27" customWidth="1"/>
    <col min="11" max="12" width="14.21875" style="27" customWidth="1"/>
    <col min="13" max="15" width="12.77734375" style="27" customWidth="1"/>
    <col min="16" max="16" width="14" style="27" customWidth="1"/>
    <col min="17" max="17" width="14.21875" style="27" bestFit="1" customWidth="1"/>
    <col min="18" max="18" width="12.21875" style="27" bestFit="1" customWidth="1"/>
    <col min="19" max="19" width="13.21875" style="27" bestFit="1" customWidth="1"/>
    <col min="20" max="20" width="11.21875" style="27" bestFit="1" customWidth="1"/>
    <col min="21" max="21" width="12.21875" style="27" bestFit="1" customWidth="1"/>
    <col min="22" max="22" width="13.21875" style="27" bestFit="1" customWidth="1"/>
    <col min="23" max="23" width="11.21875" style="27" bestFit="1" customWidth="1"/>
    <col min="24" max="24" width="12.21875" style="27" bestFit="1" customWidth="1"/>
    <col min="25" max="25" width="13.21875" style="27" bestFit="1" customWidth="1"/>
    <col min="26" max="16384" width="9.21875" style="27"/>
  </cols>
  <sheetData>
    <row r="1" spans="1:25" x14ac:dyDescent="0.3">
      <c r="A1" s="27" t="s">
        <v>210</v>
      </c>
      <c r="B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5" ht="18" x14ac:dyDescent="0.3">
      <c r="B2" s="12" t="s">
        <v>317</v>
      </c>
      <c r="E2" s="29" t="s">
        <v>319</v>
      </c>
      <c r="F2" s="31">
        <f>'[1]B1 (Res) Branca OK'!F2</f>
        <v>45876</v>
      </c>
      <c r="G2" s="25" t="s">
        <v>210</v>
      </c>
      <c r="H2" s="799" t="s">
        <v>365</v>
      </c>
      <c r="I2" s="799"/>
      <c r="J2" s="25"/>
      <c r="K2" s="25"/>
      <c r="M2" s="13" t="s">
        <v>238</v>
      </c>
      <c r="N2" s="13" t="s">
        <v>239</v>
      </c>
      <c r="Q2" s="133" t="s">
        <v>227</v>
      </c>
      <c r="R2" s="136"/>
    </row>
    <row r="3" spans="1:25" x14ac:dyDescent="0.3">
      <c r="M3" s="21" t="s">
        <v>74</v>
      </c>
      <c r="N3" s="14">
        <f>'[1]B1 (Res) Branca OK'!N3</f>
        <v>0</v>
      </c>
    </row>
    <row r="4" spans="1:25" ht="15" customHeight="1" x14ac:dyDescent="0.3">
      <c r="B4" s="792" t="s">
        <v>212</v>
      </c>
      <c r="C4" s="769" t="str">
        <f>'[1]B1 (Res) Branca OK'!C4</f>
        <v>TARIFA ANTIGA - REH 3241/2023</v>
      </c>
      <c r="D4" s="769"/>
      <c r="E4" s="769"/>
      <c r="F4" s="769" t="str">
        <f>'[1]B1 (Res) Branca OK'!F4</f>
        <v>TARIFA NOVA - REH xxxx/2024</v>
      </c>
      <c r="G4" s="769"/>
      <c r="H4" s="769"/>
      <c r="I4" s="798" t="s">
        <v>320</v>
      </c>
      <c r="J4" s="798"/>
      <c r="K4" s="798"/>
      <c r="M4" s="124" t="s">
        <v>240</v>
      </c>
      <c r="N4" s="125">
        <f>'[1]B1 (Res) Branca OK'!N4</f>
        <v>1.8849999999999999E-2</v>
      </c>
      <c r="Q4" s="792" t="s">
        <v>212</v>
      </c>
      <c r="R4" s="794" t="str">
        <f>C4</f>
        <v>TARIFA ANTIGA - REH 3241/2023</v>
      </c>
      <c r="S4" s="795"/>
      <c r="T4" s="796"/>
      <c r="U4" s="794" t="str">
        <f>F4</f>
        <v>TARIFA NOVA - REH xxxx/2024</v>
      </c>
      <c r="V4" s="795"/>
      <c r="W4" s="796"/>
    </row>
    <row r="5" spans="1:25" x14ac:dyDescent="0.3">
      <c r="B5" s="793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  <c r="M5" s="126" t="s">
        <v>241</v>
      </c>
      <c r="N5" s="127">
        <f>'[1]B1 (Res) Branca OK'!N5</f>
        <v>4.4630000000000003E-2</v>
      </c>
      <c r="Q5" s="793"/>
      <c r="R5" s="99" t="s">
        <v>321</v>
      </c>
      <c r="S5"/>
      <c r="T5"/>
      <c r="U5" s="99" t="s">
        <v>321</v>
      </c>
      <c r="V5"/>
      <c r="W5"/>
      <c r="X5" s="99" t="s">
        <v>321</v>
      </c>
      <c r="Y5"/>
    </row>
    <row r="6" spans="1:25" x14ac:dyDescent="0.3">
      <c r="B6" s="102" t="s">
        <v>366</v>
      </c>
      <c r="C6" s="98">
        <v>0</v>
      </c>
      <c r="D6" s="98">
        <v>0</v>
      </c>
      <c r="E6" s="98">
        <f t="shared" ref="E6:E8" si="0">C6+D6</f>
        <v>0</v>
      </c>
      <c r="F6" s="98">
        <v>0.93508999999999998</v>
      </c>
      <c r="G6" s="98">
        <v>0.43036000000000002</v>
      </c>
      <c r="H6" s="98">
        <f t="shared" ref="H6:H9" si="1">F6+G6</f>
        <v>1.3654500000000001</v>
      </c>
      <c r="I6" s="98">
        <f>((C6*$C$15)+(F6*$D$15))/($D$15+$C$15)</f>
        <v>0.14168030303030302</v>
      </c>
      <c r="J6" s="98">
        <f>((D6*$C$15)+(G6*$D$15))/($D$15+$C$15)</f>
        <v>6.5206060606060615E-2</v>
      </c>
      <c r="K6" s="101">
        <f t="shared" ref="K6:K9" si="2">I6+J6</f>
        <v>0.20688636363636365</v>
      </c>
      <c r="M6" s="9" t="s">
        <v>243</v>
      </c>
      <c r="N6" s="10">
        <f>'[1]B1 (Res) Branca OK'!N6</f>
        <v>7.8770000000000007E-2</v>
      </c>
      <c r="Q6" s="102" t="str">
        <f>B6</f>
        <v>B2 Ponta</v>
      </c>
      <c r="R6" s="98">
        <f>'[1]FIO B'!H14/1000</f>
        <v>0.57411477069371142</v>
      </c>
      <c r="S6"/>
      <c r="T6"/>
      <c r="U6" s="98">
        <f>'[1]FIO B'!K14/1000</f>
        <v>0.69302445456809059</v>
      </c>
      <c r="V6"/>
      <c r="W6"/>
      <c r="X6" s="98">
        <f>((R6*$C$15)+(U6*$D$15))/($D$15+$C$15)</f>
        <v>0.59213138946255672</v>
      </c>
      <c r="Y6"/>
    </row>
    <row r="7" spans="1:25" customFormat="1" x14ac:dyDescent="0.3">
      <c r="B7" s="102" t="s">
        <v>367</v>
      </c>
      <c r="C7" s="98">
        <v>0</v>
      </c>
      <c r="D7" s="98">
        <v>0</v>
      </c>
      <c r="E7" s="98">
        <f t="shared" si="0"/>
        <v>0</v>
      </c>
      <c r="F7" s="98">
        <v>0.61733000000000005</v>
      </c>
      <c r="G7" s="98">
        <v>0.26735000000000003</v>
      </c>
      <c r="H7" s="98">
        <f t="shared" si="1"/>
        <v>0.88468000000000013</v>
      </c>
      <c r="I7" s="98">
        <f>((C7*$C$15)+(F7*$D$15))/($D$15+$C$15)</f>
        <v>9.3534848484848485E-2</v>
      </c>
      <c r="J7" s="98">
        <f>((D7*$C$15)+(G7*$D$15))/($D$15+$C$15)</f>
        <v>4.0507575757575763E-2</v>
      </c>
      <c r="K7" s="101">
        <f t="shared" si="2"/>
        <v>0.13404242424242424</v>
      </c>
      <c r="M7" s="21" t="s">
        <v>245</v>
      </c>
      <c r="N7" s="130">
        <f>'[1]B1 (Res) Branca OK'!N7</f>
        <v>0.14199999999999999</v>
      </c>
      <c r="Q7" s="102" t="str">
        <f t="shared" ref="Q7:Q8" si="3">B7</f>
        <v>B2 Fora Ponta</v>
      </c>
      <c r="R7" s="98">
        <f>'[1]FIO B'!H16/1000</f>
        <v>0.11482297495331664</v>
      </c>
      <c r="U7" s="98">
        <f>'[1]FIO B'!K16/1000</f>
        <v>0.13860487080740844</v>
      </c>
      <c r="X7" s="98">
        <f t="shared" ref="X7:X8" si="4">((R7*$C$15)+(U7*$D$15))/($D$15+$C$15)</f>
        <v>0.11842629250696692</v>
      </c>
    </row>
    <row r="8" spans="1:25" customFormat="1" x14ac:dyDescent="0.3">
      <c r="B8" s="102" t="s">
        <v>368</v>
      </c>
      <c r="C8" s="98">
        <v>0</v>
      </c>
      <c r="D8" s="98">
        <v>0</v>
      </c>
      <c r="E8" s="98">
        <f t="shared" si="0"/>
        <v>0</v>
      </c>
      <c r="F8" s="98">
        <v>0.29957</v>
      </c>
      <c r="G8" s="98">
        <v>0.26735000000000003</v>
      </c>
      <c r="H8" s="98">
        <f t="shared" si="1"/>
        <v>0.56692000000000009</v>
      </c>
      <c r="I8" s="98">
        <f>((C8*$C$15)+(F8*$D$15))/($D$15+$C$15)</f>
        <v>4.5389393939393945E-2</v>
      </c>
      <c r="J8" s="98">
        <f t="shared" ref="J8" si="5">((D8*$C$15)+(G8*$D$15))/($D$15+$C$15)</f>
        <v>4.0507575757575763E-2</v>
      </c>
      <c r="K8" s="101">
        <f t="shared" si="2"/>
        <v>8.5896969696969708E-2</v>
      </c>
      <c r="Q8" s="102" t="str">
        <f t="shared" si="3"/>
        <v>B2 Interm.</v>
      </c>
      <c r="R8" s="98">
        <f>'[1]FIO B'!H15/1000</f>
        <v>0.34446882078707813</v>
      </c>
      <c r="U8" s="98">
        <f>'[1]FIO B'!K15/1000</f>
        <v>0.41581471295327371</v>
      </c>
      <c r="X8" s="98">
        <f t="shared" si="4"/>
        <v>0.35527880444862286</v>
      </c>
    </row>
    <row r="9" spans="1:25" customFormat="1" x14ac:dyDescent="0.3">
      <c r="B9" s="102" t="s">
        <v>322</v>
      </c>
      <c r="C9" s="101">
        <f>'[1]B1 (Res) Branca OK'!C9</f>
        <v>1.7567285996534902E-4</v>
      </c>
      <c r="D9" s="101">
        <f>'[1]B1 (Res) Branca OK'!D9</f>
        <v>3.42973552660492E-3</v>
      </c>
      <c r="E9" s="101">
        <f>SUM(C9+D9)</f>
        <v>3.6054083865702689E-3</v>
      </c>
      <c r="F9" s="101">
        <f>T13</f>
        <v>1.8774721494831901E-4</v>
      </c>
      <c r="G9" s="101">
        <f>U13</f>
        <v>-4.4031307414479802E-3</v>
      </c>
      <c r="H9" s="101">
        <f t="shared" si="1"/>
        <v>-4.2153835264996612E-3</v>
      </c>
      <c r="I9" s="98">
        <f>((C9*$C$15)+(F9*$D$15))/($D$15+$C$15)</f>
        <v>1.7750230769004145E-4</v>
      </c>
      <c r="J9" s="98">
        <f>((D9*$C$15)+(G9*$D$15))/($D$15+$C$15)</f>
        <v>2.2429376072029654E-3</v>
      </c>
      <c r="K9" s="101">
        <f t="shared" si="2"/>
        <v>2.4204399148930068E-3</v>
      </c>
    </row>
    <row r="10" spans="1:25" x14ac:dyDescent="0.3">
      <c r="G10" s="25"/>
      <c r="H10" s="25"/>
      <c r="I10" s="25"/>
      <c r="J10" s="25"/>
      <c r="K10" s="25"/>
      <c r="O10" s="29"/>
      <c r="P10" s="153" t="s">
        <v>324</v>
      </c>
      <c r="Q10" s="154"/>
      <c r="R10" s="150" t="s">
        <v>325</v>
      </c>
      <c r="S10" s="150" t="s">
        <v>326</v>
      </c>
      <c r="T10" s="150" t="s">
        <v>321</v>
      </c>
      <c r="U10" s="150" t="s">
        <v>327</v>
      </c>
      <c r="V10" s="25"/>
      <c r="W10" s="25"/>
      <c r="X10" s="25"/>
      <c r="Y10" s="25"/>
    </row>
    <row r="11" spans="1:25" x14ac:dyDescent="0.3">
      <c r="B11" s="57"/>
      <c r="C11" s="58"/>
      <c r="D11" s="104"/>
      <c r="E11" s="58"/>
      <c r="F11" s="58"/>
      <c r="G11" s="58"/>
      <c r="H11" s="105" t="s">
        <v>223</v>
      </c>
      <c r="I11" s="25"/>
      <c r="L11" s="29" t="s">
        <v>323</v>
      </c>
      <c r="M11" s="31">
        <f>EOMONTH(B15,0)+1</f>
        <v>45870</v>
      </c>
      <c r="P11" s="197" t="s">
        <v>369</v>
      </c>
      <c r="Q11" s="198"/>
      <c r="R11" s="199"/>
      <c r="S11" s="199"/>
      <c r="T11" s="200"/>
      <c r="U11" s="200"/>
    </row>
    <row r="12" spans="1:25" x14ac:dyDescent="0.3">
      <c r="B12" s="106"/>
      <c r="C12" s="25" t="s">
        <v>370</v>
      </c>
      <c r="E12" s="25"/>
      <c r="F12" s="25"/>
      <c r="G12" s="25"/>
      <c r="H12" s="107">
        <f>E15</f>
        <v>45880</v>
      </c>
      <c r="K12" s="797" t="s">
        <v>328</v>
      </c>
      <c r="L12" s="797"/>
      <c r="P12" s="201" t="s">
        <v>371</v>
      </c>
      <c r="Q12" s="202"/>
      <c r="R12" s="203"/>
      <c r="S12" s="203"/>
      <c r="T12" s="151"/>
      <c r="U12" s="159">
        <f>5.61/1000</f>
        <v>5.6100000000000004E-3</v>
      </c>
    </row>
    <row r="13" spans="1:25" x14ac:dyDescent="0.3">
      <c r="B13" s="38"/>
      <c r="H13" s="108"/>
      <c r="K13" s="21" t="str">
        <f>'[1]B1 (Res) Branca OK'!K13</f>
        <v>BVM1</v>
      </c>
      <c r="L13" s="21" t="str">
        <f>'[1]B1 (Res) Branca OK'!L13</f>
        <v>BVM2</v>
      </c>
      <c r="P13" s="155" t="s">
        <v>329</v>
      </c>
      <c r="Q13" s="156"/>
      <c r="R13" s="152"/>
      <c r="S13" s="152"/>
      <c r="T13" s="158">
        <v>1.8774721494831901E-4</v>
      </c>
      <c r="U13" s="159">
        <v>-4.4031307414479802E-3</v>
      </c>
    </row>
    <row r="14" spans="1:25" ht="27.6" x14ac:dyDescent="0.3">
      <c r="B14" s="22" t="s">
        <v>219</v>
      </c>
      <c r="C14" s="22" t="s">
        <v>244</v>
      </c>
      <c r="D14" s="22" t="s">
        <v>242</v>
      </c>
      <c r="E14" s="22" t="s">
        <v>222</v>
      </c>
      <c r="F14" s="25"/>
      <c r="G14" s="25"/>
      <c r="H14" s="109"/>
      <c r="J14" s="22" t="s">
        <v>219</v>
      </c>
      <c r="K14" s="22" t="s">
        <v>244</v>
      </c>
      <c r="L14" s="22" t="s">
        <v>242</v>
      </c>
      <c r="M14" s="22" t="s">
        <v>222</v>
      </c>
    </row>
    <row r="15" spans="1:25" x14ac:dyDescent="0.3">
      <c r="B15" s="122">
        <f>'[1]B1 (Res) Branca OK'!B15</f>
        <v>45847</v>
      </c>
      <c r="C15" s="32">
        <f>IF((F2-B15-1)&lt;0,0,(F2-B15-1))</f>
        <v>28</v>
      </c>
      <c r="D15" s="32">
        <f>E15-F2+1</f>
        <v>5</v>
      </c>
      <c r="E15" s="122">
        <f>'[1]B1 (Res) Branca OK'!E15</f>
        <v>45880</v>
      </c>
      <c r="F15" s="110"/>
      <c r="G15" s="110"/>
      <c r="H15" s="111"/>
      <c r="J15" s="33">
        <f>B15</f>
        <v>45847</v>
      </c>
      <c r="K15" s="34">
        <f>IF((M11-J15-1)&lt;0,0,(M11-J15-1))</f>
        <v>22</v>
      </c>
      <c r="L15" s="34">
        <f>M15-M11+1</f>
        <v>11</v>
      </c>
      <c r="M15" s="33">
        <f>E15</f>
        <v>45880</v>
      </c>
    </row>
    <row r="16" spans="1:25" x14ac:dyDescent="0.3">
      <c r="B16" s="25"/>
      <c r="C16" s="25"/>
      <c r="D16" s="25"/>
      <c r="E16" s="25"/>
      <c r="F16" s="25"/>
      <c r="G16" s="25"/>
      <c r="H16" s="25"/>
      <c r="J16" s="216"/>
      <c r="K16" s="217"/>
      <c r="L16" s="217"/>
      <c r="M16" s="216"/>
    </row>
    <row r="17" spans="2:22" ht="42" customHeight="1" x14ac:dyDescent="0.3">
      <c r="B17" s="160" t="s">
        <v>53</v>
      </c>
      <c r="C17" s="160" t="s">
        <v>248</v>
      </c>
      <c r="D17" s="160" t="s">
        <v>249</v>
      </c>
      <c r="E17" s="161" t="s">
        <v>250</v>
      </c>
      <c r="F17" s="161" t="s">
        <v>251</v>
      </c>
      <c r="G17" s="161" t="s">
        <v>252</v>
      </c>
      <c r="H17" s="161" t="s">
        <v>253</v>
      </c>
      <c r="I17" s="161" t="s">
        <v>254</v>
      </c>
      <c r="J17" s="161" t="s">
        <v>255</v>
      </c>
      <c r="K17" s="162" t="s">
        <v>256</v>
      </c>
      <c r="L17" s="160" t="s">
        <v>257</v>
      </c>
      <c r="M17" s="161" t="s">
        <v>258</v>
      </c>
      <c r="N17" s="161" t="s">
        <v>259</v>
      </c>
      <c r="O17" s="161" t="s">
        <v>260</v>
      </c>
    </row>
    <row r="18" spans="2:22" x14ac:dyDescent="0.3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46"/>
      <c r="M18" s="163"/>
      <c r="N18" s="163"/>
      <c r="O18" s="163"/>
      <c r="P18" s="25"/>
      <c r="Q18" s="25"/>
      <c r="R18" s="89"/>
      <c r="S18" s="89"/>
      <c r="T18" s="25"/>
      <c r="U18" s="25"/>
      <c r="V18" s="25"/>
    </row>
    <row r="19" spans="2:22" x14ac:dyDescent="0.3">
      <c r="B19" s="163" t="s">
        <v>300</v>
      </c>
      <c r="C19" s="164" t="s">
        <v>262</v>
      </c>
      <c r="D19" s="228">
        <v>32</v>
      </c>
      <c r="E19" s="171">
        <f>IFERROR((ROUND(D19*K19,2)+ROUND(G19,2)+ROUND(J19,2))/ROUND(D19,4), 0)</f>
        <v>1.173125</v>
      </c>
      <c r="F19" s="169">
        <f>ROUND(D19*E19,2)</f>
        <v>37.54</v>
      </c>
      <c r="G19" s="169">
        <f>((D19*K19)/(1-$N$19-$N$20))*($N$19+$N$20)</f>
        <v>1.237049188795168</v>
      </c>
      <c r="H19" s="176">
        <f t="shared" ref="H19:H28" si="6">(IF($I$19=12%,(D19*K19)/(1-$N$19-$N$20)/(1-$C$73)/$F$73*$C$73,(D19*K19)/(1-$N$19-$N$20)/(1-$I$19)))</f>
        <v>37.542083359994173</v>
      </c>
      <c r="I19" s="218">
        <v>0.17</v>
      </c>
      <c r="J19" s="176">
        <f>H19*$I$19</f>
        <v>6.3821541711990095</v>
      </c>
      <c r="K19" s="171">
        <f>F6</f>
        <v>0.93508999999999998</v>
      </c>
      <c r="L19" s="95" t="s">
        <v>263</v>
      </c>
      <c r="M19" s="169">
        <f>D61</f>
        <v>39.820889305425389</v>
      </c>
      <c r="N19" s="165">
        <f>B1C!N31</f>
        <v>7.1000000000000004E-3</v>
      </c>
      <c r="O19" s="178">
        <f>ROUND(M19*N19,2)</f>
        <v>0.28000000000000003</v>
      </c>
      <c r="P19" s="25"/>
      <c r="Q19" s="25"/>
      <c r="R19" s="204"/>
      <c r="S19" s="97"/>
      <c r="T19" s="25"/>
      <c r="U19" s="25"/>
      <c r="V19" s="25"/>
    </row>
    <row r="20" spans="2:22" x14ac:dyDescent="0.3">
      <c r="B20" s="163" t="s">
        <v>301</v>
      </c>
      <c r="C20" s="164" t="s">
        <v>262</v>
      </c>
      <c r="D20" s="228">
        <v>16</v>
      </c>
      <c r="E20" s="171">
        <f t="shared" ref="E20:E28" si="7">IFERROR((ROUND(D20*K20,2)+ROUND(G20,2)+ROUND(J20,2))/ROUND(D20,4), 0)</f>
        <v>0.77500000000000002</v>
      </c>
      <c r="F20" s="169">
        <f t="shared" ref="F20:F28" si="8">ROUND(D20*E20,2)</f>
        <v>12.4</v>
      </c>
      <c r="G20" s="169">
        <f>((D20*K20)/(1-$N$19-$N$20))*($N$19+$N$20)</f>
        <v>0.4083390773716547</v>
      </c>
      <c r="H20" s="176">
        <f t="shared" si="6"/>
        <v>12.392312141411633</v>
      </c>
      <c r="I20" s="230">
        <f>I19</f>
        <v>0.17</v>
      </c>
      <c r="J20" s="176">
        <f t="shared" ref="J20:J28" si="9">H20*$I$19</f>
        <v>2.1066930640399777</v>
      </c>
      <c r="K20" s="171">
        <f>F7</f>
        <v>0.61733000000000005</v>
      </c>
      <c r="L20" s="95" t="s">
        <v>265</v>
      </c>
      <c r="M20" s="169">
        <f>D62</f>
        <v>39.820889305425389</v>
      </c>
      <c r="N20" s="165">
        <f>B1C!N32</f>
        <v>3.2599999999999997E-2</v>
      </c>
      <c r="O20" s="178">
        <f>ROUND(M20*N20,2)</f>
        <v>1.3</v>
      </c>
      <c r="P20" s="25"/>
      <c r="Q20" s="25"/>
      <c r="R20" s="204"/>
      <c r="S20" s="97"/>
      <c r="T20" s="25"/>
      <c r="U20" s="25"/>
      <c r="V20" s="25"/>
    </row>
    <row r="21" spans="2:22" x14ac:dyDescent="0.3">
      <c r="B21" s="163" t="s">
        <v>302</v>
      </c>
      <c r="C21" s="164" t="s">
        <v>262</v>
      </c>
      <c r="D21" s="228">
        <v>145</v>
      </c>
      <c r="E21" s="171">
        <f t="shared" si="7"/>
        <v>0.37586206896551722</v>
      </c>
      <c r="F21" s="169">
        <f t="shared" si="8"/>
        <v>54.5</v>
      </c>
      <c r="G21" s="169">
        <f>((D21*K21)/(1-$N$19-$N$20))*($N$19+$N$20)</f>
        <v>1.7957666406331352</v>
      </c>
      <c r="H21" s="176">
        <f t="shared" si="6"/>
        <v>54.498092338112208</v>
      </c>
      <c r="I21" s="230">
        <f>I19</f>
        <v>0.17</v>
      </c>
      <c r="J21" s="176">
        <f t="shared" si="9"/>
        <v>9.2646756974790758</v>
      </c>
      <c r="K21" s="171">
        <f>F8</f>
        <v>0.29957</v>
      </c>
      <c r="L21" s="205"/>
      <c r="M21" s="206"/>
      <c r="N21" s="207"/>
      <c r="O21" s="208"/>
      <c r="P21" s="25"/>
      <c r="Q21" s="25"/>
      <c r="R21" s="204"/>
      <c r="S21" s="97"/>
      <c r="T21" s="25"/>
      <c r="U21" s="25"/>
      <c r="V21" s="25"/>
    </row>
    <row r="22" spans="2:22" x14ac:dyDescent="0.3">
      <c r="B22" s="163" t="s">
        <v>303</v>
      </c>
      <c r="C22" s="164" t="s">
        <v>262</v>
      </c>
      <c r="D22" s="184">
        <f>D19</f>
        <v>32</v>
      </c>
      <c r="E22" s="171">
        <f t="shared" si="7"/>
        <v>0.54</v>
      </c>
      <c r="F22" s="169">
        <f t="shared" si="8"/>
        <v>17.28</v>
      </c>
      <c r="G22" s="169">
        <f>((D22*K22)/(1-$N$19-$N$20))*($N$19+$N$20)</f>
        <v>0.56933181714047687</v>
      </c>
      <c r="H22" s="176">
        <f t="shared" si="6"/>
        <v>17.27813471944636</v>
      </c>
      <c r="I22" s="163"/>
      <c r="J22" s="176">
        <f t="shared" si="9"/>
        <v>2.9372829023058813</v>
      </c>
      <c r="K22" s="171">
        <f>G6</f>
        <v>0.43036000000000002</v>
      </c>
      <c r="L22" s="205"/>
      <c r="M22" s="206"/>
      <c r="N22" s="207"/>
      <c r="O22" s="208"/>
      <c r="P22" s="25"/>
      <c r="Q22" s="25"/>
      <c r="R22" s="25"/>
      <c r="S22" s="25"/>
      <c r="T22" s="25"/>
      <c r="U22" s="25"/>
      <c r="V22" s="25"/>
    </row>
    <row r="23" spans="2:22" x14ac:dyDescent="0.3">
      <c r="B23" s="163" t="s">
        <v>304</v>
      </c>
      <c r="C23" s="164" t="s">
        <v>262</v>
      </c>
      <c r="D23" s="184">
        <f>D20</f>
        <v>16</v>
      </c>
      <c r="E23" s="171">
        <f t="shared" si="7"/>
        <v>0.33562500000000001</v>
      </c>
      <c r="F23" s="169">
        <f t="shared" si="8"/>
        <v>5.37</v>
      </c>
      <c r="G23" s="169">
        <f t="shared" ref="G23:G24" si="10">((D23*K23)/(1-$N$19-$N$20))*($N$19+$N$20)</f>
        <v>0.17684132042070189</v>
      </c>
      <c r="H23" s="176">
        <f t="shared" si="6"/>
        <v>5.3667967715912077</v>
      </c>
      <c r="I23" s="163"/>
      <c r="J23" s="176">
        <f t="shared" si="9"/>
        <v>0.91235545117050543</v>
      </c>
      <c r="K23" s="171">
        <f>G7</f>
        <v>0.26735000000000003</v>
      </c>
      <c r="L23" s="205"/>
      <c r="M23" s="206"/>
      <c r="N23" s="207"/>
      <c r="O23" s="208"/>
      <c r="P23" s="25"/>
      <c r="Q23" s="25"/>
      <c r="R23" s="25"/>
      <c r="S23" s="25"/>
      <c r="T23" s="25"/>
      <c r="U23" s="25"/>
      <c r="V23" s="25"/>
    </row>
    <row r="24" spans="2:22" x14ac:dyDescent="0.3">
      <c r="B24" s="163" t="s">
        <v>305</v>
      </c>
      <c r="C24" s="164" t="s">
        <v>262</v>
      </c>
      <c r="D24" s="184">
        <f>D21</f>
        <v>145</v>
      </c>
      <c r="E24" s="171">
        <f t="shared" si="7"/>
        <v>0.33544827586206899</v>
      </c>
      <c r="F24" s="169">
        <f t="shared" si="8"/>
        <v>48.64</v>
      </c>
      <c r="G24" s="169">
        <f t="shared" si="10"/>
        <v>1.6026244663126108</v>
      </c>
      <c r="H24" s="176">
        <f t="shared" si="6"/>
        <v>48.636595742545325</v>
      </c>
      <c r="I24" s="163"/>
      <c r="J24" s="176">
        <f t="shared" si="9"/>
        <v>8.2682212762327065</v>
      </c>
      <c r="K24" s="171">
        <f>G8</f>
        <v>0.26735000000000003</v>
      </c>
      <c r="L24" s="205"/>
      <c r="M24" s="206"/>
      <c r="N24" s="207"/>
      <c r="O24" s="208"/>
      <c r="P24" s="25"/>
      <c r="Q24" s="25"/>
      <c r="R24" s="25"/>
      <c r="S24" s="25"/>
      <c r="T24" s="25"/>
      <c r="U24" s="25"/>
      <c r="V24" s="25"/>
    </row>
    <row r="25" spans="2:22" x14ac:dyDescent="0.3">
      <c r="B25" s="163" t="s">
        <v>268</v>
      </c>
      <c r="C25" s="164" t="s">
        <v>262</v>
      </c>
      <c r="D25" s="184">
        <f>IF($K$13=M4,(($D$19+$D$20+$D$21)*($K$15)/($K$15+$L$15)),0)+IF($L$13=M4,(($D$19+$D$20+$D$21)*($L$15)/($K$15+$L$15)),0)</f>
        <v>0</v>
      </c>
      <c r="E25" s="171">
        <f t="shared" si="7"/>
        <v>0</v>
      </c>
      <c r="F25" s="169">
        <f t="shared" si="8"/>
        <v>0</v>
      </c>
      <c r="G25" s="169">
        <f>((D25*K25)/(1-$N$19-$N$20))*($N$19+$N$20)</f>
        <v>0</v>
      </c>
      <c r="H25" s="176">
        <f t="shared" si="6"/>
        <v>0</v>
      </c>
      <c r="I25" s="163"/>
      <c r="J25" s="176">
        <f t="shared" si="9"/>
        <v>0</v>
      </c>
      <c r="K25" s="171">
        <f>N4</f>
        <v>1.8849999999999999E-2</v>
      </c>
      <c r="L25" s="63"/>
      <c r="M25" s="166"/>
      <c r="N25" s="166"/>
      <c r="O25" s="166"/>
      <c r="P25" s="25"/>
      <c r="Q25" s="25"/>
      <c r="R25" s="209"/>
      <c r="S25" s="25"/>
      <c r="T25" s="25"/>
      <c r="U25" s="25"/>
      <c r="V25" s="25"/>
    </row>
    <row r="26" spans="2:22" x14ac:dyDescent="0.3">
      <c r="B26" s="163" t="s">
        <v>269</v>
      </c>
      <c r="C26" s="164" t="s">
        <v>262</v>
      </c>
      <c r="D26" s="184">
        <f t="shared" ref="D26:D28" si="11">IF($K$13=M5,(($D$19+$D$20+$D$21)*($K$15)/($K$15+$L$15)),0)+IF($L$13=M5,(($D$19+$D$20+$D$21)*($L$15)/($K$15+$L$15)),0)</f>
        <v>128.66666666666666</v>
      </c>
      <c r="E26" s="171">
        <f t="shared" si="7"/>
        <v>5.5958534725768214E-2</v>
      </c>
      <c r="F26" s="169">
        <f t="shared" si="8"/>
        <v>7.2</v>
      </c>
      <c r="G26" s="169">
        <f>((D26*K26)/(1-$N$19-$N$20))*($N$19+$N$20)</f>
        <v>0.23739770418966294</v>
      </c>
      <c r="H26" s="176">
        <f t="shared" si="6"/>
        <v>7.2045675150879473</v>
      </c>
      <c r="I26" s="163"/>
      <c r="J26" s="176">
        <f t="shared" si="9"/>
        <v>1.2247764775649512</v>
      </c>
      <c r="K26" s="171">
        <f>N5</f>
        <v>4.4630000000000003E-2</v>
      </c>
      <c r="O26" s="46"/>
      <c r="P26" s="25"/>
      <c r="Q26" s="25"/>
      <c r="R26" s="209"/>
      <c r="S26" s="210"/>
      <c r="T26" s="41"/>
      <c r="U26" s="25"/>
      <c r="V26" s="25"/>
    </row>
    <row r="27" spans="2:22" x14ac:dyDescent="0.3">
      <c r="B27" s="163" t="s">
        <v>270</v>
      </c>
      <c r="C27" s="164" t="s">
        <v>262</v>
      </c>
      <c r="D27" s="184">
        <f t="shared" si="11"/>
        <v>64.333333333333329</v>
      </c>
      <c r="E27" s="171">
        <f t="shared" si="7"/>
        <v>9.8860154849821177E-2</v>
      </c>
      <c r="F27" s="169">
        <f t="shared" si="8"/>
        <v>6.36</v>
      </c>
      <c r="G27" s="169">
        <f>((D27*K27)/(1-$N$19-$N$20))*($N$19+$N$20)</f>
        <v>0.20949828768787529</v>
      </c>
      <c r="H27" s="176">
        <f t="shared" si="6"/>
        <v>6.3578734389813754</v>
      </c>
      <c r="I27" s="163"/>
      <c r="J27" s="176">
        <f t="shared" si="9"/>
        <v>1.080838484626834</v>
      </c>
      <c r="K27" s="171">
        <f>N6</f>
        <v>7.8770000000000007E-2</v>
      </c>
      <c r="O27" s="46"/>
      <c r="P27" s="25"/>
      <c r="Q27" s="41"/>
      <c r="R27" s="211"/>
      <c r="S27" s="140"/>
      <c r="T27" s="41"/>
      <c r="U27" s="25"/>
      <c r="V27" s="25"/>
    </row>
    <row r="28" spans="2:22" x14ac:dyDescent="0.3">
      <c r="B28" s="163" t="s">
        <v>285</v>
      </c>
      <c r="C28" s="164" t="s">
        <v>262</v>
      </c>
      <c r="D28" s="184">
        <f t="shared" si="11"/>
        <v>0</v>
      </c>
      <c r="E28" s="171">
        <f t="shared" si="7"/>
        <v>0</v>
      </c>
      <c r="F28" s="169">
        <f t="shared" si="8"/>
        <v>0</v>
      </c>
      <c r="G28" s="169">
        <f>((D28*K28)/(1-$N$19-$N$20))*($N$19+$N$20)</f>
        <v>0</v>
      </c>
      <c r="H28" s="176">
        <f t="shared" si="6"/>
        <v>0</v>
      </c>
      <c r="I28" s="163"/>
      <c r="J28" s="176">
        <f t="shared" si="9"/>
        <v>0</v>
      </c>
      <c r="K28" s="171">
        <f>N7</f>
        <v>0.14199999999999999</v>
      </c>
      <c r="O28" s="46"/>
      <c r="P28" s="25"/>
      <c r="Q28" s="25"/>
      <c r="R28" s="25"/>
      <c r="S28" s="140"/>
      <c r="T28" s="25"/>
      <c r="U28" s="25"/>
      <c r="V28" s="25"/>
    </row>
    <row r="29" spans="2:22" x14ac:dyDescent="0.3">
      <c r="B29" s="163" t="s">
        <v>306</v>
      </c>
      <c r="C29" s="163"/>
      <c r="D29" s="184"/>
      <c r="E29" s="163"/>
      <c r="F29" s="229"/>
      <c r="G29" s="163"/>
      <c r="H29" s="163"/>
      <c r="I29" s="163"/>
      <c r="J29" s="163"/>
      <c r="K29" s="163"/>
      <c r="O29" s="46"/>
      <c r="P29" s="25"/>
      <c r="Q29" s="25"/>
      <c r="R29" s="25"/>
      <c r="S29" s="140"/>
      <c r="T29" s="25"/>
      <c r="U29" s="25"/>
      <c r="V29" s="25"/>
    </row>
    <row r="30" spans="2:22" x14ac:dyDescent="0.3">
      <c r="B30" s="163" t="s">
        <v>307</v>
      </c>
      <c r="C30" s="163"/>
      <c r="D30" s="184"/>
      <c r="E30" s="163"/>
      <c r="F30" s="229"/>
      <c r="G30" s="163"/>
      <c r="H30" s="163"/>
      <c r="I30" s="163"/>
      <c r="J30" s="163"/>
      <c r="K30" s="163"/>
      <c r="O30" s="46"/>
      <c r="P30" s="25"/>
      <c r="Q30" s="25"/>
      <c r="R30" s="25"/>
      <c r="S30" s="140"/>
      <c r="T30" s="25"/>
      <c r="U30" s="25"/>
      <c r="V30" s="25"/>
    </row>
    <row r="31" spans="2:22" x14ac:dyDescent="0.3">
      <c r="B31" s="163" t="s">
        <v>308</v>
      </c>
      <c r="C31" s="163"/>
      <c r="D31" s="184"/>
      <c r="E31" s="163"/>
      <c r="F31" s="229">
        <v>-20.02</v>
      </c>
      <c r="G31" s="163"/>
      <c r="H31" s="163"/>
      <c r="I31" s="163"/>
      <c r="J31" s="163"/>
      <c r="K31" s="163"/>
      <c r="O31" s="46"/>
      <c r="S31" s="187"/>
    </row>
    <row r="32" spans="2:22" x14ac:dyDescent="0.3">
      <c r="B32" s="163" t="s">
        <v>336</v>
      </c>
      <c r="C32" s="163"/>
      <c r="D32" s="184"/>
      <c r="E32" s="163"/>
      <c r="F32" s="229"/>
      <c r="G32" s="163"/>
      <c r="H32" s="163"/>
      <c r="I32" s="163"/>
      <c r="J32" s="163"/>
      <c r="K32" s="163"/>
      <c r="O32" s="46"/>
      <c r="S32" s="187"/>
    </row>
    <row r="33" spans="2:19" x14ac:dyDescent="0.3">
      <c r="B33" s="163" t="s">
        <v>272</v>
      </c>
      <c r="C33" s="163"/>
      <c r="D33" s="184"/>
      <c r="E33" s="163"/>
      <c r="F33" s="229">
        <v>30.91</v>
      </c>
      <c r="G33" s="163"/>
      <c r="H33" s="163"/>
      <c r="I33" s="163"/>
      <c r="J33" s="163"/>
      <c r="K33" s="163"/>
      <c r="O33" s="46"/>
    </row>
    <row r="34" spans="2:19" x14ac:dyDescent="0.3">
      <c r="B34" s="163"/>
      <c r="C34" s="163"/>
      <c r="D34" s="184"/>
      <c r="E34" s="163"/>
      <c r="F34" s="163"/>
      <c r="G34" s="163"/>
      <c r="H34" s="163"/>
      <c r="I34" s="163"/>
      <c r="J34" s="163"/>
      <c r="K34" s="163"/>
      <c r="O34" s="46"/>
    </row>
    <row r="35" spans="2:19" x14ac:dyDescent="0.3">
      <c r="B35" s="163"/>
      <c r="C35" s="163"/>
      <c r="D35" s="184"/>
      <c r="E35" s="163"/>
      <c r="F35" s="163"/>
      <c r="G35" s="163"/>
      <c r="H35" s="163"/>
      <c r="I35" s="163"/>
      <c r="J35" s="163"/>
      <c r="K35" s="163"/>
      <c r="O35" s="46"/>
    </row>
    <row r="36" spans="2:19" x14ac:dyDescent="0.3">
      <c r="B36" s="170" t="s">
        <v>177</v>
      </c>
      <c r="C36" s="166"/>
      <c r="D36" s="185"/>
      <c r="E36" s="166"/>
      <c r="F36" s="172">
        <f>SUM(F19:F35)</f>
        <v>200.18</v>
      </c>
      <c r="G36" s="175">
        <f>SUM(G19:G35)</f>
        <v>6.2368485025512861</v>
      </c>
      <c r="H36" s="177">
        <f>SUM(H19:H35)</f>
        <v>189.27645602717024</v>
      </c>
      <c r="I36" s="166"/>
      <c r="J36" s="177">
        <f>SUM(J19:J35)</f>
        <v>32.17699752461894</v>
      </c>
      <c r="K36" s="166"/>
      <c r="L36" s="53"/>
      <c r="M36" s="53"/>
      <c r="N36" s="53"/>
      <c r="O36" s="111"/>
    </row>
    <row r="38" spans="2:19" x14ac:dyDescent="0.3">
      <c r="B38" s="180" t="s">
        <v>273</v>
      </c>
      <c r="C38" s="181">
        <f>D19+D20+D21</f>
        <v>193</v>
      </c>
      <c r="D38" s="182">
        <f>IF(AND($B$15&lt;$F$2,$E$15&lt;$F$2),C9,IF($B$15&lt;$F$2,I9,F9))</f>
        <v>1.7750230769004145E-4</v>
      </c>
      <c r="E38" s="182">
        <f>IF(AND($B$15&lt;$F$2,$E$15&lt;$F$2),D9,IF($B$15&lt;$F$2,J9,G9))</f>
        <v>2.2429376072029654E-3</v>
      </c>
      <c r="F38" s="180">
        <f>C38*(D38+E38)</f>
        <v>0.46714490357435029</v>
      </c>
    </row>
    <row r="39" spans="2:19" x14ac:dyDescent="0.3">
      <c r="B39" s="25"/>
      <c r="C39" s="25"/>
      <c r="D39" s="25"/>
      <c r="E39" s="25"/>
      <c r="F39" s="25"/>
      <c r="G39" s="25"/>
      <c r="H39" s="25"/>
      <c r="J39" s="216"/>
      <c r="K39" s="217"/>
      <c r="L39" s="217"/>
      <c r="M39" s="216"/>
    </row>
    <row r="40" spans="2:19" x14ac:dyDescent="0.3">
      <c r="B40" s="25"/>
      <c r="C40" s="25"/>
      <c r="D40" s="25"/>
      <c r="E40" s="25"/>
      <c r="F40" s="25"/>
      <c r="G40" s="25"/>
      <c r="H40" s="25"/>
      <c r="J40" s="216"/>
      <c r="K40" s="217"/>
      <c r="L40" s="217"/>
      <c r="M40" s="216"/>
    </row>
    <row r="41" spans="2:19" x14ac:dyDescent="0.3">
      <c r="B41" s="25"/>
      <c r="C41" s="25"/>
      <c r="D41" s="25"/>
      <c r="E41" s="25"/>
      <c r="F41" s="25"/>
      <c r="G41" s="25"/>
      <c r="H41" s="25"/>
      <c r="J41" s="216"/>
      <c r="K41" s="217"/>
      <c r="L41" s="217"/>
      <c r="M41" s="216"/>
    </row>
    <row r="42" spans="2:19" x14ac:dyDescent="0.3">
      <c r="B42" s="25"/>
      <c r="C42" s="25"/>
      <c r="D42" s="25"/>
      <c r="E42" s="25"/>
      <c r="F42" s="25"/>
      <c r="G42" s="25"/>
      <c r="H42" s="25"/>
      <c r="J42" s="216"/>
      <c r="K42" s="217"/>
      <c r="L42" s="217"/>
      <c r="M42" s="216"/>
    </row>
    <row r="43" spans="2:19" x14ac:dyDescent="0.3">
      <c r="B43" s="784" t="s">
        <v>372</v>
      </c>
      <c r="C43" s="785"/>
      <c r="D43" s="785"/>
      <c r="E43" s="785"/>
      <c r="F43" s="785"/>
      <c r="G43" s="785"/>
      <c r="H43" s="786"/>
      <c r="I43" s="25"/>
      <c r="J43" s="25"/>
      <c r="K43" s="25"/>
      <c r="L43" s="25"/>
      <c r="M43" s="25"/>
      <c r="N43" s="25"/>
      <c r="O43" s="25"/>
      <c r="P43" s="25"/>
    </row>
    <row r="44" spans="2:19" x14ac:dyDescent="0.3">
      <c r="B44" s="38"/>
      <c r="D44" s="26" t="s">
        <v>275</v>
      </c>
      <c r="E44" s="26" t="s">
        <v>6</v>
      </c>
      <c r="F44" s="26" t="s">
        <v>7</v>
      </c>
      <c r="G44" s="26" t="s">
        <v>218</v>
      </c>
      <c r="H44" s="95" t="s">
        <v>170</v>
      </c>
      <c r="I44" s="25"/>
      <c r="J44" s="25"/>
      <c r="K44" s="25"/>
      <c r="L44" s="25"/>
      <c r="M44" s="25"/>
      <c r="N44" s="129"/>
      <c r="O44" s="25"/>
      <c r="P44" s="25"/>
    </row>
    <row r="45" spans="2:19" x14ac:dyDescent="0.3">
      <c r="B45" s="112" t="s">
        <v>291</v>
      </c>
      <c r="C45" s="113"/>
      <c r="D45" s="114"/>
      <c r="E45" s="114"/>
      <c r="F45" s="114"/>
      <c r="G45" s="114"/>
      <c r="H45" s="115">
        <f>SUM(H47:H55)+SUM(H61:H63)</f>
        <v>41.480093026484781</v>
      </c>
      <c r="I45" s="25"/>
      <c r="J45" t="s">
        <v>346</v>
      </c>
      <c r="K45"/>
      <c r="L45" t="s">
        <v>347</v>
      </c>
      <c r="M45" s="25"/>
    </row>
    <row r="46" spans="2:19" x14ac:dyDescent="0.3">
      <c r="B46" s="38"/>
      <c r="D46" s="26"/>
      <c r="E46" s="26"/>
      <c r="F46" s="26"/>
      <c r="G46" s="26"/>
      <c r="H46" s="39"/>
      <c r="I46" s="25"/>
      <c r="J46" s="2" t="s">
        <v>218</v>
      </c>
      <c r="K46" s="219" t="s">
        <v>170</v>
      </c>
      <c r="L46" s="1"/>
      <c r="M46" s="25"/>
      <c r="N46" s="25"/>
      <c r="O46" s="25"/>
      <c r="P46" s="25"/>
      <c r="R46" s="133" t="s">
        <v>331</v>
      </c>
      <c r="S46" s="133" t="s">
        <v>332</v>
      </c>
    </row>
    <row r="47" spans="2:19" x14ac:dyDescent="0.3">
      <c r="B47" s="38" t="s">
        <v>311</v>
      </c>
      <c r="D47" s="123">
        <f>D19</f>
        <v>32</v>
      </c>
      <c r="E47" s="41">
        <f t="shared" ref="E47:F49" si="12">IF(AND($B$15&lt;$F$2,$E$15&lt;$F$2),C6,IF($B$15&lt;$F$2,I6,F6))</f>
        <v>0.14168030303030302</v>
      </c>
      <c r="F47" s="212">
        <f t="shared" si="12"/>
        <v>6.5206060606060615E-2</v>
      </c>
      <c r="G47" s="41">
        <f>E47+F47</f>
        <v>0.20688636363636365</v>
      </c>
      <c r="H47" s="42">
        <f>ROUND((D47*E47),2)+ROUND((D47*F47),2)</f>
        <v>6.62</v>
      </c>
      <c r="I47" s="25"/>
      <c r="J47" s="220">
        <f>IF(AND($B$15&lt;$F$2,$E$15&lt;$F$2),E133,IF($B$15&lt;$F$2,K133,H133))</f>
        <v>1.2891918181818183</v>
      </c>
      <c r="K47" s="4">
        <f>D47*J47</f>
        <v>41.254138181818185</v>
      </c>
      <c r="L47" s="4">
        <f>K47-H47</f>
        <v>34.634138181818187</v>
      </c>
      <c r="M47" s="25"/>
      <c r="N47" s="25"/>
      <c r="O47" s="25"/>
      <c r="P47" s="25"/>
      <c r="R47" s="137">
        <f>IF(AND($B$15&lt;$F$2,$E$15&lt;$F$2),R6,IF($B$15&lt;$F$2,X6,U6))</f>
        <v>0.59213138946255672</v>
      </c>
      <c r="S47" s="138">
        <f>D47*R47</f>
        <v>18.948204462801815</v>
      </c>
    </row>
    <row r="48" spans="2:19" x14ac:dyDescent="0.3">
      <c r="B48" s="38" t="s">
        <v>313</v>
      </c>
      <c r="D48" s="123">
        <f>D21</f>
        <v>145</v>
      </c>
      <c r="E48" s="41">
        <f t="shared" si="12"/>
        <v>9.3534848484848485E-2</v>
      </c>
      <c r="F48" s="212">
        <f t="shared" si="12"/>
        <v>4.0507575757575763E-2</v>
      </c>
      <c r="G48" s="41">
        <f t="shared" ref="G48:G49" si="13">E48+F48</f>
        <v>0.13404242424242424</v>
      </c>
      <c r="H48" s="42">
        <f t="shared" ref="H48:H49" si="14">ROUND((D48*E48),2)+ROUND((D48*F48),2)</f>
        <v>19.43</v>
      </c>
      <c r="I48" s="25"/>
      <c r="J48" s="220">
        <f>IF(AND($B$15&lt;$F$2,$E$15&lt;$F$2),E134,IF($B$15&lt;$F$2,K134,H134))</f>
        <v>0.5864445454545455</v>
      </c>
      <c r="K48" s="4">
        <f>D48*J48</f>
        <v>85.034459090909095</v>
      </c>
      <c r="L48" s="4">
        <f t="shared" ref="L48:L49" si="15">K48-H48</f>
        <v>65.604459090909103</v>
      </c>
      <c r="M48" s="25"/>
      <c r="N48" s="25"/>
      <c r="O48" s="25"/>
      <c r="P48" s="25"/>
      <c r="R48" s="137">
        <f>IF(AND($B$15&lt;$F$2,$E$15&lt;$F$2),R7,IF($B$15&lt;$F$2,X7,U7))</f>
        <v>0.11842629250696692</v>
      </c>
      <c r="S48" s="138">
        <f t="shared" ref="S48:S49" si="16">D48*R48</f>
        <v>17.171812413510203</v>
      </c>
    </row>
    <row r="49" spans="2:19" x14ac:dyDescent="0.3">
      <c r="B49" s="38" t="s">
        <v>312</v>
      </c>
      <c r="D49" s="123">
        <f>D20</f>
        <v>16</v>
      </c>
      <c r="E49" s="41">
        <f t="shared" si="12"/>
        <v>4.5389393939393945E-2</v>
      </c>
      <c r="F49" s="212">
        <f t="shared" si="12"/>
        <v>4.0507575757575763E-2</v>
      </c>
      <c r="G49" s="41">
        <f t="shared" si="13"/>
        <v>8.5896969696969708E-2</v>
      </c>
      <c r="H49" s="42">
        <f t="shared" si="14"/>
        <v>1.38</v>
      </c>
      <c r="I49" s="25"/>
      <c r="J49" s="220">
        <f>IF(AND($B$15&lt;$F$2,$E$15&lt;$F$2),E135,IF($B$15&lt;$F$2,K135,H135))</f>
        <v>0.85247878787878795</v>
      </c>
      <c r="K49" s="4">
        <f t="shared" ref="K49" si="17">D49*J49</f>
        <v>13.639660606060607</v>
      </c>
      <c r="L49" s="4">
        <f t="shared" si="15"/>
        <v>12.259660606060606</v>
      </c>
      <c r="M49" s="25"/>
      <c r="N49" s="25"/>
      <c r="O49" s="25"/>
      <c r="P49" s="25"/>
      <c r="R49" s="137">
        <f>IF(AND($B$15&lt;$F$2,$E$15&lt;$F$2),R8,IF($B$15&lt;$F$2,X8,U8))</f>
        <v>0.35527880444862286</v>
      </c>
      <c r="S49" s="138">
        <f t="shared" si="16"/>
        <v>5.6844608711779658</v>
      </c>
    </row>
    <row r="50" spans="2:19" x14ac:dyDescent="0.3">
      <c r="B50" s="38"/>
      <c r="D50" s="40"/>
      <c r="E50" s="43"/>
      <c r="F50" s="44"/>
      <c r="G50" s="44"/>
      <c r="H50" s="42"/>
      <c r="I50" s="25"/>
      <c r="J50"/>
      <c r="K50" s="4"/>
      <c r="L50" s="4"/>
      <c r="M50" s="25"/>
      <c r="N50" s="25"/>
      <c r="O50" s="25"/>
      <c r="P50" s="25"/>
      <c r="S50" s="214">
        <f>SUM(S47:S49)</f>
        <v>41.80447774748999</v>
      </c>
    </row>
    <row r="51" spans="2:19" x14ac:dyDescent="0.3">
      <c r="B51" s="38"/>
      <c r="D51" s="45"/>
      <c r="H51" s="46"/>
      <c r="I51" s="25"/>
      <c r="J51"/>
      <c r="K51"/>
      <c r="L51" s="221">
        <f>SUM(L47:L49)</f>
        <v>112.4982578787879</v>
      </c>
      <c r="M51" s="25"/>
      <c r="N51" s="25"/>
      <c r="O51" s="25"/>
      <c r="P51" s="25"/>
    </row>
    <row r="52" spans="2:19" x14ac:dyDescent="0.3">
      <c r="B52" s="38" t="s">
        <v>268</v>
      </c>
      <c r="D52" s="47">
        <f>IF($K$13=M4,((D47+D48+D49)*(K15)/(K15+L15)),0)+IF($L$13=M4,((D47+D48+D49)*(L15)/(K15+L15)),0)</f>
        <v>0</v>
      </c>
      <c r="F52" s="48">
        <f>N4</f>
        <v>1.8849999999999999E-2</v>
      </c>
      <c r="G52" s="48"/>
      <c r="H52" s="42">
        <f>ROUND(D52*(E52+F52),2)</f>
        <v>0</v>
      </c>
      <c r="I52" s="25"/>
      <c r="J52" s="25"/>
      <c r="K52" s="25"/>
      <c r="L52" s="25"/>
      <c r="M52" s="25"/>
      <c r="N52" s="25"/>
      <c r="O52" s="25"/>
      <c r="P52" s="25"/>
    </row>
    <row r="53" spans="2:19" x14ac:dyDescent="0.3">
      <c r="B53" s="38" t="s">
        <v>269</v>
      </c>
      <c r="D53" s="47">
        <f>IF($K$13=M5,((D47+D48+D49)*(K15)/(K15+L15)),0)+IF($L$13=M5,((D47+D48+D49)*(L15)/(K15+L15)),0)</f>
        <v>128.66666666666666</v>
      </c>
      <c r="F53" s="48">
        <f>N5</f>
        <v>4.4630000000000003E-2</v>
      </c>
      <c r="G53" s="48"/>
      <c r="H53" s="42">
        <f>ROUND(D53*(E53+F53),2)</f>
        <v>5.74</v>
      </c>
      <c r="I53" s="25"/>
      <c r="J53" s="222" t="s">
        <v>373</v>
      </c>
      <c r="K53" s="133"/>
      <c r="L53" s="223"/>
      <c r="M53" s="25"/>
      <c r="N53" s="25"/>
      <c r="O53" s="25"/>
      <c r="P53" s="25"/>
    </row>
    <row r="54" spans="2:19" x14ac:dyDescent="0.3">
      <c r="B54" s="38" t="s">
        <v>270</v>
      </c>
      <c r="D54" s="47">
        <f>IF($K$13=M6,((D47+D48+D49)*(K15)/(K15+L15)),0)+IF($L$13=M6,((D47+D48+D49)*(L15)/(K15+L15)),0)</f>
        <v>64.333333333333329</v>
      </c>
      <c r="F54" s="48">
        <f>N6</f>
        <v>7.8770000000000007E-2</v>
      </c>
      <c r="G54" s="48"/>
      <c r="H54" s="42">
        <f>ROUND(D54*(E54+F54),2)</f>
        <v>5.07</v>
      </c>
      <c r="I54" s="25"/>
      <c r="J54" s="224" t="s">
        <v>374</v>
      </c>
      <c r="K54" s="225"/>
      <c r="L54" s="225"/>
      <c r="M54" s="25"/>
      <c r="N54" s="25"/>
      <c r="O54" s="25"/>
      <c r="P54" s="25"/>
    </row>
    <row r="55" spans="2:19" x14ac:dyDescent="0.3">
      <c r="B55" s="38" t="s">
        <v>280</v>
      </c>
      <c r="D55" s="47">
        <f>IF($K$13=M7,((D47+D48+D49)*(K15)/(K15+L15)),0)+IF($L$13=M7,((D47+D48+D49)*(L15)/(K15+L15)),0)</f>
        <v>0</v>
      </c>
      <c r="F55" s="48">
        <f>N7</f>
        <v>0.14199999999999999</v>
      </c>
      <c r="G55" s="48"/>
      <c r="H55" s="42">
        <f>ROUND(D55*(E55+F55),2)</f>
        <v>0</v>
      </c>
      <c r="I55" s="25"/>
      <c r="J55" s="25"/>
      <c r="K55" s="25"/>
      <c r="L55" s="25"/>
      <c r="M55" s="25"/>
      <c r="N55" s="25"/>
      <c r="O55" s="25"/>
      <c r="P55" s="25"/>
    </row>
    <row r="56" spans="2:19" x14ac:dyDescent="0.3">
      <c r="B56" s="38"/>
      <c r="D56" s="45"/>
      <c r="H56" s="42"/>
      <c r="I56" s="25"/>
      <c r="J56" s="25"/>
      <c r="K56" s="25"/>
      <c r="L56" s="25"/>
      <c r="M56" s="25"/>
      <c r="N56" s="25"/>
      <c r="O56" s="25"/>
      <c r="P56" s="25"/>
    </row>
    <row r="57" spans="2:19" x14ac:dyDescent="0.3">
      <c r="B57" s="50"/>
      <c r="C57" s="30"/>
      <c r="D57" s="30"/>
      <c r="E57" s="30"/>
      <c r="F57" s="30"/>
      <c r="G57" s="30"/>
      <c r="H57" s="51"/>
      <c r="I57" s="25"/>
      <c r="J57" s="25"/>
      <c r="K57" s="25"/>
      <c r="M57" s="25"/>
      <c r="N57" s="25"/>
      <c r="O57" s="25"/>
      <c r="P57" s="25"/>
    </row>
    <row r="58" spans="2:19" x14ac:dyDescent="0.3">
      <c r="B58" s="52"/>
      <c r="C58" s="53"/>
      <c r="D58" s="54"/>
      <c r="E58" s="55"/>
      <c r="F58" s="53"/>
      <c r="G58" s="53"/>
      <c r="H58" s="56"/>
      <c r="I58" s="25"/>
      <c r="J58" s="25"/>
      <c r="K58" s="25"/>
      <c r="M58" s="25"/>
      <c r="N58" s="25"/>
      <c r="O58" s="25"/>
      <c r="P58" s="25"/>
    </row>
    <row r="59" spans="2:19" x14ac:dyDescent="0.3">
      <c r="B59" s="57"/>
      <c r="C59" s="58"/>
      <c r="D59" s="58"/>
      <c r="E59" s="58"/>
      <c r="F59" s="58"/>
      <c r="G59" s="58"/>
      <c r="H59" s="59"/>
      <c r="I59" s="25"/>
      <c r="M59" s="25"/>
      <c r="N59" s="25"/>
      <c r="O59" s="25"/>
      <c r="P59" s="25"/>
    </row>
    <row r="60" spans="2:19" x14ac:dyDescent="0.3">
      <c r="B60" s="38"/>
      <c r="D60" s="23" t="s">
        <v>314</v>
      </c>
      <c r="E60" s="37"/>
      <c r="F60" s="37"/>
      <c r="G60" s="37"/>
      <c r="H60" s="60"/>
      <c r="I60" s="61"/>
      <c r="K60" s="62"/>
      <c r="M60" s="25"/>
      <c r="N60" s="25"/>
      <c r="O60" s="25"/>
      <c r="P60" s="25"/>
    </row>
    <row r="61" spans="2:19" x14ac:dyDescent="0.3">
      <c r="B61" s="38" t="s">
        <v>282</v>
      </c>
      <c r="D61" s="62">
        <f>(SUM(H47:H55)/(1-E61-E62))</f>
        <v>39.820889305425389</v>
      </c>
      <c r="E61" s="215">
        <f>N19</f>
        <v>7.1000000000000004E-3</v>
      </c>
      <c r="H61" s="42">
        <f>D61*E61</f>
        <v>0.28272831406852028</v>
      </c>
      <c r="I61" s="62"/>
      <c r="L61" s="25"/>
      <c r="M61" s="25"/>
      <c r="N61" s="25"/>
      <c r="O61" s="25"/>
      <c r="P61" s="25"/>
    </row>
    <row r="62" spans="2:19" x14ac:dyDescent="0.3">
      <c r="B62" s="38" t="s">
        <v>265</v>
      </c>
      <c r="D62" s="62">
        <f>D61</f>
        <v>39.820889305425389</v>
      </c>
      <c r="E62" s="215">
        <f>N20</f>
        <v>3.2599999999999997E-2</v>
      </c>
      <c r="H62" s="42">
        <f>D62*E62</f>
        <v>1.2981609913568675</v>
      </c>
      <c r="I62" s="62"/>
      <c r="L62" s="25"/>
      <c r="M62" s="25"/>
      <c r="N62" s="25"/>
      <c r="O62" s="25"/>
      <c r="P62" s="25"/>
    </row>
    <row r="63" spans="2:19" x14ac:dyDescent="0.3">
      <c r="B63" s="38" t="s">
        <v>283</v>
      </c>
      <c r="D63" s="132">
        <f>IF((E63=17%),(D61)/(1-E63),D73)</f>
        <v>13.826697675494927</v>
      </c>
      <c r="E63" s="76">
        <v>0.12</v>
      </c>
      <c r="H63" s="42">
        <f>D63*E63</f>
        <v>1.6592037210593911</v>
      </c>
      <c r="I63" s="62"/>
      <c r="L63" s="25"/>
      <c r="M63" s="25"/>
      <c r="N63" s="25"/>
      <c r="O63" s="25"/>
      <c r="P63" s="25"/>
    </row>
    <row r="64" spans="2:19" x14ac:dyDescent="0.3">
      <c r="B64" s="52"/>
      <c r="C64" s="53"/>
      <c r="D64" s="53"/>
      <c r="E64" s="53"/>
      <c r="F64" s="53"/>
      <c r="G64" s="53"/>
      <c r="H64" s="63"/>
      <c r="L64" s="25"/>
      <c r="M64" s="25"/>
      <c r="N64" s="25"/>
      <c r="O64" s="25"/>
      <c r="P64" s="25"/>
    </row>
    <row r="65" spans="1:16" x14ac:dyDescent="0.3">
      <c r="B65" s="145" t="s">
        <v>315</v>
      </c>
      <c r="C65" s="146"/>
      <c r="D65" s="147">
        <f>SUM(D47:D49)</f>
        <v>193</v>
      </c>
      <c r="E65" s="148">
        <f>IF(AND($B$15&lt;$F$2,$E$15&lt;$F$2),C9,IF($B$15&lt;$F$2,I9,F9))</f>
        <v>1.7750230769004145E-4</v>
      </c>
      <c r="F65" s="148">
        <f>IF(AND($B$15&lt;$F$2,$E$15&lt;$F$2),D9,IF($B$15&lt;$F$2,J9,G9))</f>
        <v>2.2429376072029654E-3</v>
      </c>
      <c r="G65" s="146"/>
      <c r="H65" s="145">
        <f>D65*(E65+F65)</f>
        <v>0.46714490357435029</v>
      </c>
      <c r="K65" s="129"/>
      <c r="L65" s="25"/>
      <c r="M65" s="25"/>
      <c r="N65" s="25"/>
      <c r="O65" s="25"/>
      <c r="P65" s="25"/>
    </row>
    <row r="66" spans="1:16" x14ac:dyDescent="0.3">
      <c r="B66" s="77" t="s">
        <v>375</v>
      </c>
      <c r="C66" s="78"/>
      <c r="D66" s="78"/>
      <c r="E66" s="78"/>
      <c r="F66" s="78"/>
      <c r="G66" s="78"/>
      <c r="H66" s="79">
        <f>L51</f>
        <v>112.4982578787879</v>
      </c>
      <c r="I66" s="24" t="s">
        <v>360</v>
      </c>
      <c r="J66" s="80"/>
    </row>
    <row r="69" spans="1:16" x14ac:dyDescent="0.3">
      <c r="B69" s="27" t="s">
        <v>376</v>
      </c>
    </row>
    <row r="70" spans="1:16" x14ac:dyDescent="0.3">
      <c r="B70" s="81"/>
      <c r="C70" s="81"/>
      <c r="D70" s="84" t="s">
        <v>339</v>
      </c>
      <c r="F70" s="84"/>
    </row>
    <row r="71" spans="1:16" x14ac:dyDescent="0.3">
      <c r="B71" s="85" t="s">
        <v>263</v>
      </c>
      <c r="C71" s="5">
        <f>E61</f>
        <v>7.1000000000000004E-3</v>
      </c>
      <c r="D71" s="86">
        <f>SUM(H49:H55)/(1-C71-C72)</f>
        <v>12.693949807351871</v>
      </c>
      <c r="E71" s="28" t="s">
        <v>340</v>
      </c>
      <c r="F71" s="5">
        <f>C71</f>
        <v>7.1000000000000004E-3</v>
      </c>
      <c r="G71" s="87">
        <f>D71*F71</f>
        <v>9.0127043632198284E-2</v>
      </c>
    </row>
    <row r="72" spans="1:16" x14ac:dyDescent="0.3">
      <c r="B72" s="85" t="s">
        <v>265</v>
      </c>
      <c r="C72" s="5">
        <f>E62</f>
        <v>3.2599999999999997E-2</v>
      </c>
      <c r="D72" s="86">
        <f>D71</f>
        <v>12.693949807351871</v>
      </c>
      <c r="E72" s="28" t="s">
        <v>340</v>
      </c>
      <c r="F72" s="5">
        <f>C72</f>
        <v>3.2599999999999997E-2</v>
      </c>
      <c r="G72" s="87">
        <f>D72*F72</f>
        <v>0.41382276371967097</v>
      </c>
    </row>
    <row r="73" spans="1:16" x14ac:dyDescent="0.3">
      <c r="A73" s="116" t="s">
        <v>341</v>
      </c>
      <c r="B73" s="85" t="s">
        <v>283</v>
      </c>
      <c r="C73" s="6">
        <v>0.04</v>
      </c>
      <c r="D73" s="88">
        <f>H73/F73*C73</f>
        <v>13.826697675494927</v>
      </c>
      <c r="E73" s="28" t="s">
        <v>340</v>
      </c>
      <c r="F73" s="7">
        <v>0.12</v>
      </c>
      <c r="G73" s="87">
        <f>D73*F73</f>
        <v>1.6592037210593911</v>
      </c>
      <c r="H73" s="87">
        <f>(H47+H48+H49+H52+H53+H54+H55)/(1-E61-E62)/(1-C73)</f>
        <v>41.480093026484781</v>
      </c>
      <c r="I73" s="134">
        <f>H73*C73</f>
        <v>1.6592037210593913</v>
      </c>
    </row>
    <row r="74" spans="1:16" x14ac:dyDescent="0.3">
      <c r="B74" s="81"/>
      <c r="C74" s="81"/>
      <c r="D74" s="81"/>
      <c r="E74" s="87">
        <f>(O63)/(1-C71-C72-C73)</f>
        <v>0</v>
      </c>
      <c r="F74" s="82"/>
      <c r="G74" s="82"/>
      <c r="H74" s="81"/>
      <c r="I74" s="81"/>
      <c r="J74" s="83"/>
      <c r="K74" s="83"/>
      <c r="L74" s="83"/>
      <c r="M74" s="84"/>
      <c r="N74" s="84"/>
      <c r="O74" s="89"/>
    </row>
    <row r="76" spans="1:16" x14ac:dyDescent="0.3">
      <c r="C76" s="25"/>
      <c r="D76" s="90" t="s">
        <v>342</v>
      </c>
      <c r="E76" s="91" t="s">
        <v>343</v>
      </c>
      <c r="F76" s="92"/>
      <c r="G76" s="25" t="s">
        <v>362</v>
      </c>
      <c r="H76" s="93">
        <f>H73/F73*C73</f>
        <v>13.826697675494927</v>
      </c>
    </row>
    <row r="77" spans="1:16" x14ac:dyDescent="0.3">
      <c r="C77" s="25"/>
      <c r="D77" s="25"/>
      <c r="E77" s="25" t="s">
        <v>344</v>
      </c>
      <c r="F77" s="25"/>
      <c r="G77" s="25"/>
      <c r="H77" s="25"/>
      <c r="J77" s="25"/>
    </row>
    <row r="78" spans="1:16" x14ac:dyDescent="0.3">
      <c r="L78" s="25"/>
      <c r="M78" s="25"/>
      <c r="N78" s="25"/>
      <c r="O78" s="25"/>
      <c r="P78" s="25"/>
    </row>
    <row r="79" spans="1:16" x14ac:dyDescent="0.3">
      <c r="L79" s="25"/>
      <c r="M79" s="25"/>
      <c r="N79" s="25"/>
      <c r="O79" s="25"/>
      <c r="P79" s="25"/>
    </row>
    <row r="80" spans="1:16" x14ac:dyDescent="0.3">
      <c r="B80" s="64" t="s">
        <v>363</v>
      </c>
      <c r="D80" s="37"/>
      <c r="E80" s="37" t="s">
        <v>210</v>
      </c>
      <c r="F80" s="37"/>
      <c r="G80" s="37"/>
      <c r="H80" s="61"/>
    </row>
    <row r="81" spans="2:14" x14ac:dyDescent="0.3">
      <c r="B81" s="65"/>
      <c r="C81" s="66" t="s">
        <v>170</v>
      </c>
    </row>
    <row r="82" spans="2:14" x14ac:dyDescent="0.3">
      <c r="B82" s="65" t="s">
        <v>190</v>
      </c>
      <c r="C82" s="67">
        <f>(SUM(H47:H55)*IF($B$15&lt;$F$2,D120,D92))</f>
        <v>16.878250377279389</v>
      </c>
    </row>
    <row r="83" spans="2:14" x14ac:dyDescent="0.3">
      <c r="B83" s="65" t="s">
        <v>192</v>
      </c>
      <c r="C83" s="67">
        <f>(SUM(H47:H55)*IF($B$15&lt;$F$2,F120,F92))</f>
        <v>9.7974401227553312</v>
      </c>
    </row>
    <row r="84" spans="2:14" x14ac:dyDescent="0.3">
      <c r="B84" s="65" t="s">
        <v>191</v>
      </c>
      <c r="C84" s="67">
        <f>(SUM(H47:H55)*IF($B$15&lt;$F$2,E120,E92))</f>
        <v>3.4361878268658752</v>
      </c>
    </row>
    <row r="85" spans="2:14" x14ac:dyDescent="0.3">
      <c r="B85" s="65" t="s">
        <v>235</v>
      </c>
      <c r="C85" s="67">
        <f>(SUM(H47:H55)*IF($B$15&lt;$F$2,G120,G92))</f>
        <v>8.1284366530506862</v>
      </c>
    </row>
    <row r="86" spans="2:14" x14ac:dyDescent="0.3">
      <c r="B86" s="65" t="s">
        <v>236</v>
      </c>
      <c r="C86" s="68">
        <f>H61+H62+H63</f>
        <v>3.2400930264847787</v>
      </c>
    </row>
    <row r="87" spans="2:14" x14ac:dyDescent="0.3">
      <c r="B87" s="69" t="s">
        <v>237</v>
      </c>
      <c r="C87" s="70">
        <f>SUM(C82:C86)</f>
        <v>41.480408006436058</v>
      </c>
      <c r="M87"/>
      <c r="N87"/>
    </row>
    <row r="89" spans="2:14" x14ac:dyDescent="0.3">
      <c r="B89" s="35">
        <f>'[1]B1 (Res) Branca OK'!B76</f>
        <v>2024</v>
      </c>
      <c r="C89" s="35"/>
      <c r="D89" s="35" t="s">
        <v>190</v>
      </c>
      <c r="E89" s="35" t="s">
        <v>191</v>
      </c>
      <c r="F89" s="35" t="s">
        <v>192</v>
      </c>
      <c r="G89" s="35" t="s">
        <v>193</v>
      </c>
    </row>
    <row r="90" spans="2:14" x14ac:dyDescent="0.3">
      <c r="B90" s="35" t="s">
        <v>194</v>
      </c>
      <c r="C90" s="35"/>
      <c r="D90" s="35" t="s">
        <v>195</v>
      </c>
      <c r="E90" s="35" t="s">
        <v>195</v>
      </c>
      <c r="F90" s="35" t="s">
        <v>195</v>
      </c>
      <c r="G90" s="35" t="s">
        <v>195</v>
      </c>
    </row>
    <row r="91" spans="2:14" x14ac:dyDescent="0.3">
      <c r="B91" s="35"/>
      <c r="C91" s="35"/>
      <c r="D91" s="35"/>
      <c r="E91" s="35"/>
      <c r="F91" s="35"/>
      <c r="G91" s="35"/>
    </row>
    <row r="92" spans="2:14" x14ac:dyDescent="0.3">
      <c r="B92" s="35" t="s">
        <v>196</v>
      </c>
      <c r="C92" s="35"/>
      <c r="D92" s="71">
        <f>'[1]B1 (Res) Branca OK'!D79</f>
        <v>0.45246416638672077</v>
      </c>
      <c r="E92" s="71">
        <f>'[1]B1 (Res) Branca OK'!E79</f>
        <v>7.39594111182032E-2</v>
      </c>
      <c r="F92" s="71">
        <f>'[1]B1 (Res) Branca OK'!F79</f>
        <v>0.27500913257019954</v>
      </c>
      <c r="G92" s="71">
        <f>'[1]B1 (Res) Branca OK'!G79</f>
        <v>0.19856728992487654</v>
      </c>
    </row>
    <row r="93" spans="2:14" x14ac:dyDescent="0.3">
      <c r="B93" s="35" t="s">
        <v>197</v>
      </c>
      <c r="C93" s="35"/>
      <c r="D93" s="71">
        <f>'[1]B1 (Res) Branca OK'!D80</f>
        <v>0.53149575868436638</v>
      </c>
      <c r="E93" s="71">
        <f>'[1]B1 (Res) Branca OK'!E80</f>
        <v>8.6877848555460851E-2</v>
      </c>
      <c r="F93" s="71">
        <f>'[1]B1 (Res) Branca OK'!F80</f>
        <v>0.32304478104372042</v>
      </c>
      <c r="G93" s="71">
        <f>'[1]B1 (Res) Branca OK'!G80</f>
        <v>5.8581611716452382E-2</v>
      </c>
    </row>
    <row r="94" spans="2:14" x14ac:dyDescent="0.3">
      <c r="B94" s="35" t="s">
        <v>198</v>
      </c>
      <c r="C94" s="35"/>
      <c r="D94" s="71">
        <f>'[1]B1 (Res) Branca OK'!D81</f>
        <v>0.45246416638672077</v>
      </c>
      <c r="E94" s="71">
        <f>'[1]B1 (Res) Branca OK'!E81</f>
        <v>7.39594111182032E-2</v>
      </c>
      <c r="F94" s="71">
        <f>'[1]B1 (Res) Branca OK'!F81</f>
        <v>0.27500913257019954</v>
      </c>
      <c r="G94" s="71">
        <f>'[1]B1 (Res) Branca OK'!G81</f>
        <v>0.19856728992487654</v>
      </c>
    </row>
    <row r="95" spans="2:14" x14ac:dyDescent="0.3">
      <c r="B95" s="35" t="s">
        <v>199</v>
      </c>
      <c r="C95" s="35"/>
      <c r="D95" s="71">
        <f>'[1]B1 (Res) Branca OK'!D82</f>
        <v>0.45246416638672077</v>
      </c>
      <c r="E95" s="71">
        <f>'[1]B1 (Res) Branca OK'!E82</f>
        <v>7.39594111182032E-2</v>
      </c>
      <c r="F95" s="71">
        <f>'[1]B1 (Res) Branca OK'!F82</f>
        <v>0.27500913257019954</v>
      </c>
      <c r="G95" s="71">
        <f>'[1]B1 (Res) Branca OK'!G82</f>
        <v>0.19856728992487654</v>
      </c>
    </row>
    <row r="96" spans="2:14" x14ac:dyDescent="0.3">
      <c r="B96" s="35" t="s">
        <v>200</v>
      </c>
      <c r="C96" s="35"/>
      <c r="D96" s="71">
        <f>'[1]B1 (Res) Branca OK'!D83</f>
        <v>0.45246416638672077</v>
      </c>
      <c r="E96" s="71">
        <f>'[1]B1 (Res) Branca OK'!E83</f>
        <v>7.39594111182032E-2</v>
      </c>
      <c r="F96" s="71">
        <f>'[1]B1 (Res) Branca OK'!F83</f>
        <v>0.27500913257019954</v>
      </c>
      <c r="G96" s="71">
        <f>'[1]B1 (Res) Branca OK'!G83</f>
        <v>0.19856728992487654</v>
      </c>
    </row>
    <row r="97" spans="2:7" x14ac:dyDescent="0.3">
      <c r="B97" s="35" t="s">
        <v>201</v>
      </c>
      <c r="C97" s="35"/>
      <c r="D97" s="71">
        <f>'[1]B1 (Res) Branca OK'!D84</f>
        <v>0.45246416638672077</v>
      </c>
      <c r="E97" s="71">
        <f>'[1]B1 (Res) Branca OK'!E84</f>
        <v>7.39594111182032E-2</v>
      </c>
      <c r="F97" s="71">
        <f>'[1]B1 (Res) Branca OK'!F84</f>
        <v>0.27500913257019954</v>
      </c>
      <c r="G97" s="71">
        <f>'[1]B1 (Res) Branca OK'!G84</f>
        <v>0.19856728992487654</v>
      </c>
    </row>
    <row r="98" spans="2:7" x14ac:dyDescent="0.3">
      <c r="B98" s="35" t="s">
        <v>202</v>
      </c>
      <c r="C98" s="35"/>
      <c r="D98" s="71">
        <f>'[1]B1 (Res) Branca OK'!D85</f>
        <v>0.45246416638672071</v>
      </c>
      <c r="E98" s="71">
        <f>'[1]B1 (Res) Branca OK'!E85</f>
        <v>7.3959411118203186E-2</v>
      </c>
      <c r="F98" s="71">
        <f>'[1]B1 (Res) Branca OK'!F85</f>
        <v>0.27500913257019949</v>
      </c>
      <c r="G98" s="71">
        <f>'[1]B1 (Res) Branca OK'!G85</f>
        <v>0.19856728992487654</v>
      </c>
    </row>
    <row r="99" spans="2:7" x14ac:dyDescent="0.3">
      <c r="B99" s="35" t="s">
        <v>203</v>
      </c>
      <c r="C99" s="35"/>
      <c r="D99" s="71">
        <f>'[1]B1 (Res) Branca OK'!D86</f>
        <v>0.45246416638672071</v>
      </c>
      <c r="E99" s="71">
        <f>'[1]B1 (Res) Branca OK'!E86</f>
        <v>7.3959411118203186E-2</v>
      </c>
      <c r="F99" s="71">
        <f>'[1]B1 (Res) Branca OK'!F86</f>
        <v>0.27500913257019949</v>
      </c>
      <c r="G99" s="71">
        <f>'[1]B1 (Res) Branca OK'!G86</f>
        <v>0.19856728992487654</v>
      </c>
    </row>
    <row r="100" spans="2:7" x14ac:dyDescent="0.3">
      <c r="B100" s="35" t="s">
        <v>204</v>
      </c>
      <c r="C100" s="35"/>
      <c r="D100" s="71">
        <f>'[1]B1 (Res) Branca OK'!D87</f>
        <v>0.45246416638672071</v>
      </c>
      <c r="E100" s="71">
        <f>'[1]B1 (Res) Branca OK'!E87</f>
        <v>7.39594111182032E-2</v>
      </c>
      <c r="F100" s="71">
        <f>'[1]B1 (Res) Branca OK'!F87</f>
        <v>0.27500913257019954</v>
      </c>
      <c r="G100" s="71">
        <f>'[1]B1 (Res) Branca OK'!G87</f>
        <v>0.19856728992487657</v>
      </c>
    </row>
    <row r="101" spans="2:7" x14ac:dyDescent="0.3">
      <c r="B101" s="64"/>
      <c r="C101" s="64"/>
      <c r="D101" s="64"/>
      <c r="E101" s="64"/>
      <c r="F101" s="64"/>
      <c r="G101" s="64"/>
    </row>
    <row r="102" spans="2:7" x14ac:dyDescent="0.3">
      <c r="B102" s="64"/>
      <c r="C102" s="64"/>
      <c r="D102" s="64"/>
      <c r="E102" s="64"/>
      <c r="F102" s="64"/>
      <c r="G102" s="64"/>
    </row>
    <row r="103" spans="2:7" x14ac:dyDescent="0.3">
      <c r="B103" s="64">
        <f>'[1]B1 (Res) Branca OK'!B90</f>
        <v>2023</v>
      </c>
      <c r="C103" s="35"/>
      <c r="D103" s="35" t="s">
        <v>190</v>
      </c>
      <c r="E103" s="35" t="s">
        <v>191</v>
      </c>
      <c r="F103" s="35" t="s">
        <v>192</v>
      </c>
      <c r="G103" s="35" t="s">
        <v>193</v>
      </c>
    </row>
    <row r="104" spans="2:7" x14ac:dyDescent="0.3">
      <c r="B104" s="35" t="s">
        <v>194</v>
      </c>
      <c r="C104" s="35"/>
      <c r="D104" s="35" t="s">
        <v>195</v>
      </c>
      <c r="E104" s="35" t="s">
        <v>195</v>
      </c>
      <c r="F104" s="35" t="s">
        <v>195</v>
      </c>
      <c r="G104" s="35" t="s">
        <v>195</v>
      </c>
    </row>
    <row r="105" spans="2:7" x14ac:dyDescent="0.3">
      <c r="B105" s="35"/>
      <c r="C105" s="35"/>
      <c r="D105" s="35"/>
      <c r="E105" s="35"/>
      <c r="F105" s="35"/>
      <c r="G105" s="35"/>
    </row>
    <row r="106" spans="2:7" x14ac:dyDescent="0.3">
      <c r="B106" s="35" t="s">
        <v>196</v>
      </c>
      <c r="C106" s="35"/>
      <c r="D106" s="71">
        <f>'[1]B1 (Res) Branca OK'!D93</f>
        <v>0.43939696077133034</v>
      </c>
      <c r="E106" s="71">
        <f>'[1]B1 (Res) Branca OK'!E93</f>
        <v>9.2697585625348772E-2</v>
      </c>
      <c r="F106" s="71">
        <f>'[1]B1 (Res) Branca OK'!F93</f>
        <v>0.25285207888477268</v>
      </c>
      <c r="G106" s="71">
        <f>'[1]B1 (Res) Branca OK'!G93</f>
        <v>0.21506308252114117</v>
      </c>
    </row>
    <row r="107" spans="2:7" x14ac:dyDescent="0.3">
      <c r="B107" s="35" t="s">
        <v>197</v>
      </c>
      <c r="C107" s="35"/>
      <c r="D107" s="71">
        <f>'[1]B1 (Res) Branca OK'!D94</f>
        <v>0.52691619996872485</v>
      </c>
      <c r="E107" s="71">
        <f>'[1]B1 (Res) Branca OK'!E94</f>
        <v>0.11116112291319068</v>
      </c>
      <c r="F107" s="71">
        <f>'[1]B1 (Res) Branca OK'!F94</f>
        <v>0.30321524374287334</v>
      </c>
      <c r="G107" s="71">
        <f>'[1]B1 (Res) Branca OK'!G94</f>
        <v>5.8707433375211129E-2</v>
      </c>
    </row>
    <row r="108" spans="2:7" x14ac:dyDescent="0.3">
      <c r="B108" s="35" t="s">
        <v>198</v>
      </c>
      <c r="C108" s="35"/>
      <c r="D108" s="71">
        <f>'[1]B1 (Res) Branca OK'!D95</f>
        <v>0.43939300245552615</v>
      </c>
      <c r="E108" s="71">
        <f>'[1]B1 (Res) Branca OK'!E95</f>
        <v>9.2696750557401245E-2</v>
      </c>
      <c r="F108" s="71">
        <f>'[1]B1 (Res) Branca OK'!F95</f>
        <v>0.25284980106205335</v>
      </c>
      <c r="G108" s="71">
        <f>'[1]B1 (Res) Branca OK'!G95</f>
        <v>0.21506044592501908</v>
      </c>
    </row>
    <row r="109" spans="2:7" x14ac:dyDescent="0.3">
      <c r="B109" s="35" t="s">
        <v>199</v>
      </c>
      <c r="C109" s="35"/>
      <c r="D109" s="71">
        <f>'[1]B1 (Res) Branca OK'!D96</f>
        <v>0.43939300245552615</v>
      </c>
      <c r="E109" s="71">
        <f>'[1]B1 (Res) Branca OK'!E96</f>
        <v>9.2696750557401245E-2</v>
      </c>
      <c r="F109" s="71">
        <f>'[1]B1 (Res) Branca OK'!F96</f>
        <v>0.25284980106205335</v>
      </c>
      <c r="G109" s="71">
        <f>'[1]B1 (Res) Branca OK'!G96</f>
        <v>0.21506044592501908</v>
      </c>
    </row>
    <row r="110" spans="2:7" x14ac:dyDescent="0.3">
      <c r="B110" s="35" t="s">
        <v>200</v>
      </c>
      <c r="C110" s="35"/>
      <c r="D110" s="71">
        <f>'[1]B1 (Res) Branca OK'!D97</f>
        <v>0.43939300245552615</v>
      </c>
      <c r="E110" s="71">
        <f>'[1]B1 (Res) Branca OK'!E97</f>
        <v>9.2696750557401328E-2</v>
      </c>
      <c r="F110" s="71">
        <f>'[1]B1 (Res) Branca OK'!F97</f>
        <v>0.25284980106205335</v>
      </c>
      <c r="G110" s="71">
        <f>'[1]B1 (Res) Branca OK'!G97</f>
        <v>0.21506044592501908</v>
      </c>
    </row>
    <row r="111" spans="2:7" x14ac:dyDescent="0.3">
      <c r="B111" s="35" t="s">
        <v>201</v>
      </c>
      <c r="C111" s="35"/>
      <c r="D111" s="71">
        <f>'[1]B1 (Res) Branca OK'!D98</f>
        <v>0.43939300245552615</v>
      </c>
      <c r="E111" s="71">
        <f>'[1]B1 (Res) Branca OK'!E98</f>
        <v>9.2696750557401328E-2</v>
      </c>
      <c r="F111" s="71">
        <f>'[1]B1 (Res) Branca OK'!F98</f>
        <v>0.25284980106205335</v>
      </c>
      <c r="G111" s="71">
        <f>'[1]B1 (Res) Branca OK'!G98</f>
        <v>0.21506044592501908</v>
      </c>
    </row>
    <row r="112" spans="2:7" x14ac:dyDescent="0.3">
      <c r="B112" s="35" t="s">
        <v>202</v>
      </c>
      <c r="C112" s="35"/>
      <c r="D112" s="71">
        <f>'[1]B1 (Res) Branca OK'!D99</f>
        <v>0</v>
      </c>
      <c r="E112" s="71">
        <f>'[1]B1 (Res) Branca OK'!E99</f>
        <v>0</v>
      </c>
      <c r="F112" s="71">
        <f>'[1]B1 (Res) Branca OK'!F99</f>
        <v>0</v>
      </c>
      <c r="G112" s="71">
        <f>'[1]B1 (Res) Branca OK'!G99</f>
        <v>0</v>
      </c>
    </row>
    <row r="113" spans="2:7" x14ac:dyDescent="0.3">
      <c r="B113" s="35" t="s">
        <v>203</v>
      </c>
      <c r="C113" s="35"/>
      <c r="D113" s="71">
        <f>'[1]B1 (Res) Branca OK'!D100</f>
        <v>0.43938945729126549</v>
      </c>
      <c r="E113" s="71">
        <f>'[1]B1 (Res) Branca OK'!E100</f>
        <v>9.2697336752737058E-2</v>
      </c>
      <c r="F113" s="71">
        <f>'[1]B1 (Res) Branca OK'!F100</f>
        <v>0.25285140003260154</v>
      </c>
      <c r="G113" s="71">
        <f>'[1]B1 (Res) Branca OK'!G100</f>
        <v>0.21506180592339591</v>
      </c>
    </row>
    <row r="114" spans="2:7" x14ac:dyDescent="0.3">
      <c r="B114" s="35" t="s">
        <v>204</v>
      </c>
      <c r="C114" s="35"/>
      <c r="D114" s="71">
        <f>'[1]B1 (Res) Branca OK'!D101</f>
        <v>0.43938945729126527</v>
      </c>
      <c r="E114" s="71">
        <f>'[1]B1 (Res) Branca OK'!E101</f>
        <v>9.2697336752736934E-2</v>
      </c>
      <c r="F114" s="71">
        <f>'[1]B1 (Res) Branca OK'!F101</f>
        <v>0.25285140003260193</v>
      </c>
      <c r="G114" s="71">
        <f>'[1]B1 (Res) Branca OK'!G101</f>
        <v>0.21506180592339585</v>
      </c>
    </row>
    <row r="115" spans="2:7" x14ac:dyDescent="0.3">
      <c r="B115" s="64"/>
      <c r="C115" s="64"/>
      <c r="D115" s="64"/>
      <c r="E115" s="64"/>
      <c r="F115" s="64"/>
      <c r="G115" s="64"/>
    </row>
    <row r="116" spans="2:7" x14ac:dyDescent="0.3">
      <c r="B116" s="72" t="s">
        <v>364</v>
      </c>
      <c r="C116" s="64"/>
      <c r="D116" s="64"/>
      <c r="E116" s="64"/>
      <c r="F116" s="64"/>
      <c r="G116" s="64"/>
    </row>
    <row r="117" spans="2:7" x14ac:dyDescent="0.3">
      <c r="B117" s="35"/>
      <c r="C117" s="35"/>
      <c r="D117" s="35" t="s">
        <v>190</v>
      </c>
      <c r="E117" s="35" t="s">
        <v>191</v>
      </c>
      <c r="F117" s="35" t="s">
        <v>192</v>
      </c>
      <c r="G117" s="35" t="s">
        <v>193</v>
      </c>
    </row>
    <row r="118" spans="2:7" x14ac:dyDescent="0.3">
      <c r="B118" s="35" t="s">
        <v>194</v>
      </c>
      <c r="C118" s="35"/>
      <c r="D118" s="71" t="s">
        <v>195</v>
      </c>
      <c r="E118" s="71" t="s">
        <v>195</v>
      </c>
      <c r="F118" s="71" t="s">
        <v>195</v>
      </c>
      <c r="G118" s="71" t="s">
        <v>195</v>
      </c>
    </row>
    <row r="119" spans="2:7" x14ac:dyDescent="0.3">
      <c r="B119" s="35"/>
      <c r="C119" s="35"/>
      <c r="D119" s="71"/>
      <c r="E119" s="71"/>
      <c r="F119" s="71"/>
      <c r="G119" s="71"/>
    </row>
    <row r="120" spans="2:7" x14ac:dyDescent="0.3">
      <c r="B120" s="35" t="s">
        <v>196</v>
      </c>
      <c r="C120" s="35"/>
      <c r="D120" s="71">
        <f t="shared" ref="D120:G128" si="18">((D106*$C$15)+(D92*$D$15))/($C$15+$D$15)</f>
        <v>0.44137684041002584</v>
      </c>
      <c r="E120" s="71">
        <f t="shared" si="18"/>
        <v>8.9858468275781256E-2</v>
      </c>
      <c r="F120" s="71">
        <f t="shared" si="18"/>
        <v>0.25620920823104942</v>
      </c>
      <c r="G120" s="71">
        <f t="shared" si="18"/>
        <v>0.2125637200065556</v>
      </c>
    </row>
    <row r="121" spans="2:7" x14ac:dyDescent="0.3">
      <c r="B121" s="35" t="s">
        <v>197</v>
      </c>
      <c r="C121" s="35"/>
      <c r="D121" s="71">
        <f t="shared" si="18"/>
        <v>0.5276100725013978</v>
      </c>
      <c r="E121" s="71">
        <f t="shared" si="18"/>
        <v>0.10748183891959526</v>
      </c>
      <c r="F121" s="71">
        <f t="shared" si="18"/>
        <v>0.30621971909148654</v>
      </c>
      <c r="G121" s="71">
        <f t="shared" si="18"/>
        <v>5.868836948752041E-2</v>
      </c>
    </row>
    <row r="122" spans="2:7" x14ac:dyDescent="0.3">
      <c r="B122" s="35" t="s">
        <v>198</v>
      </c>
      <c r="C122" s="35"/>
      <c r="D122" s="71">
        <f t="shared" si="18"/>
        <v>0.44137348183904046</v>
      </c>
      <c r="E122" s="71">
        <f t="shared" si="18"/>
        <v>8.9857759733280335E-2</v>
      </c>
      <c r="F122" s="71">
        <f t="shared" si="18"/>
        <v>0.25620727553298456</v>
      </c>
      <c r="G122" s="71">
        <f t="shared" si="18"/>
        <v>0.21256148289469445</v>
      </c>
    </row>
    <row r="123" spans="2:7" x14ac:dyDescent="0.3">
      <c r="B123" s="35" t="s">
        <v>199</v>
      </c>
      <c r="C123" s="35"/>
      <c r="D123" s="71">
        <f t="shared" si="18"/>
        <v>0.44137348183904046</v>
      </c>
      <c r="E123" s="71">
        <f t="shared" si="18"/>
        <v>8.9857759733280335E-2</v>
      </c>
      <c r="F123" s="71">
        <f t="shared" si="18"/>
        <v>0.25620727553298456</v>
      </c>
      <c r="G123" s="71">
        <f t="shared" si="18"/>
        <v>0.21256148289469445</v>
      </c>
    </row>
    <row r="124" spans="2:7" x14ac:dyDescent="0.3">
      <c r="B124" s="35" t="s">
        <v>200</v>
      </c>
      <c r="C124" s="35"/>
      <c r="D124" s="71">
        <f t="shared" si="18"/>
        <v>0.44137348183904046</v>
      </c>
      <c r="E124" s="71">
        <f t="shared" si="18"/>
        <v>8.985775973328039E-2</v>
      </c>
      <c r="F124" s="71">
        <f t="shared" si="18"/>
        <v>0.25620727553298456</v>
      </c>
      <c r="G124" s="71">
        <f t="shared" si="18"/>
        <v>0.21256148289469445</v>
      </c>
    </row>
    <row r="125" spans="2:7" x14ac:dyDescent="0.3">
      <c r="B125" s="35" t="s">
        <v>201</v>
      </c>
      <c r="C125" s="35"/>
      <c r="D125" s="71">
        <f t="shared" si="18"/>
        <v>0.44137348183904046</v>
      </c>
      <c r="E125" s="71">
        <f t="shared" si="18"/>
        <v>8.985775973328039E-2</v>
      </c>
      <c r="F125" s="71">
        <f t="shared" si="18"/>
        <v>0.25620727553298456</v>
      </c>
      <c r="G125" s="71">
        <f t="shared" si="18"/>
        <v>0.21256148289469445</v>
      </c>
    </row>
    <row r="126" spans="2:7" x14ac:dyDescent="0.3">
      <c r="B126" s="35" t="s">
        <v>202</v>
      </c>
      <c r="C126" s="35"/>
      <c r="D126" s="71">
        <f t="shared" si="18"/>
        <v>6.8555176725260722E-2</v>
      </c>
      <c r="E126" s="71">
        <f t="shared" si="18"/>
        <v>1.1205971381545938E-2</v>
      </c>
      <c r="F126" s="71">
        <f t="shared" si="18"/>
        <v>4.1668050389424165E-2</v>
      </c>
      <c r="G126" s="71">
        <f t="shared" si="18"/>
        <v>3.0085953018920687E-2</v>
      </c>
    </row>
    <row r="127" spans="2:7" x14ac:dyDescent="0.3">
      <c r="B127" s="35" t="s">
        <v>203</v>
      </c>
      <c r="C127" s="35"/>
      <c r="D127" s="71">
        <f t="shared" si="18"/>
        <v>0.4413704738208799</v>
      </c>
      <c r="E127" s="71">
        <f t="shared" si="18"/>
        <v>8.9858257111141024E-2</v>
      </c>
      <c r="F127" s="71">
        <f t="shared" si="18"/>
        <v>0.25620863223526791</v>
      </c>
      <c r="G127" s="71">
        <f t="shared" si="18"/>
        <v>0.21256263683271115</v>
      </c>
    </row>
    <row r="128" spans="2:7" x14ac:dyDescent="0.3">
      <c r="B128" s="35" t="s">
        <v>204</v>
      </c>
      <c r="C128" s="35"/>
      <c r="D128" s="71">
        <f t="shared" si="18"/>
        <v>0.44137047382087974</v>
      </c>
      <c r="E128" s="71">
        <f t="shared" si="18"/>
        <v>8.9858257111140913E-2</v>
      </c>
      <c r="F128" s="71">
        <f t="shared" si="18"/>
        <v>0.25620863223526824</v>
      </c>
      <c r="G128" s="71">
        <f t="shared" si="18"/>
        <v>0.21256263683271109</v>
      </c>
    </row>
    <row r="133" spans="2:11" x14ac:dyDescent="0.3">
      <c r="B133" s="102" t="s">
        <v>377</v>
      </c>
      <c r="C133" s="98">
        <f>'[1]B1 (Res) Branca OK'!C6</f>
        <v>0.80935000000000001</v>
      </c>
      <c r="D133" s="98">
        <f>'[1]B1 (Res) Branca OK'!D6</f>
        <v>0.45611000000000002</v>
      </c>
      <c r="E133" s="98">
        <f>'[1]B1 (Res) Branca OK'!E6</f>
        <v>1.26546</v>
      </c>
      <c r="F133" s="98">
        <f>'[1]B1 (Res) Branca OK'!F6</f>
        <v>0.93761000000000005</v>
      </c>
      <c r="G133" s="98">
        <f>'[1]B1 (Res) Branca OK'!G6</f>
        <v>0.48448000000000002</v>
      </c>
      <c r="H133" s="98">
        <f>'[1]B1 (Res) Branca OK'!H6</f>
        <v>1.4220900000000001</v>
      </c>
      <c r="I133" s="98">
        <f>'[1]B1 (Res) Branca OK'!I6</f>
        <v>0.82878333333333332</v>
      </c>
      <c r="J133" s="98">
        <f>'[1]B1 (Res) Branca OK'!J6</f>
        <v>0.4604084848484849</v>
      </c>
      <c r="K133" s="101">
        <f t="shared" ref="K133:K135" si="19">I133+J133</f>
        <v>1.2891918181818183</v>
      </c>
    </row>
    <row r="134" spans="2:11" x14ac:dyDescent="0.3">
      <c r="B134" s="102" t="s">
        <v>378</v>
      </c>
      <c r="C134" s="98">
        <f>'[1]B1 (Res) Branca OK'!C7</f>
        <v>0.28452999999999995</v>
      </c>
      <c r="D134" s="98">
        <f>'[1]B1 (Res) Branca OK'!D7</f>
        <v>0.28686</v>
      </c>
      <c r="E134" s="98">
        <f>'[1]B1 (Res) Branca OK'!E7</f>
        <v>0.57138999999999995</v>
      </c>
      <c r="F134" s="98">
        <f>'[1]B1 (Res) Branca OK'!F7</f>
        <v>0.36496000000000001</v>
      </c>
      <c r="G134" s="98">
        <f>'[1]B1 (Res) Branca OK'!G7</f>
        <v>0.30579000000000001</v>
      </c>
      <c r="H134" s="98">
        <f>'[1]B1 (Res) Branca OK'!H7</f>
        <v>0.67074999999999996</v>
      </c>
      <c r="I134" s="98">
        <f>'[1]B1 (Res) Branca OK'!I7</f>
        <v>0.29671636363636361</v>
      </c>
      <c r="J134" s="98">
        <f>'[1]B1 (Res) Branca OK'!J7</f>
        <v>0.28972818181818183</v>
      </c>
      <c r="K134" s="101">
        <f t="shared" si="19"/>
        <v>0.5864445454545455</v>
      </c>
    </row>
    <row r="135" spans="2:11" x14ac:dyDescent="0.3">
      <c r="B135" s="102" t="s">
        <v>379</v>
      </c>
      <c r="C135" s="98">
        <f>'[1]B1 (Res) Branca OK'!C8</f>
        <v>0.54694000000000009</v>
      </c>
      <c r="D135" s="98">
        <f>'[1]B1 (Res) Branca OK'!D8</f>
        <v>0.28686</v>
      </c>
      <c r="E135" s="98">
        <f>'[1]B1 (Res) Branca OK'!E8</f>
        <v>0.8338000000000001</v>
      </c>
      <c r="F135" s="98">
        <f>'[1]B1 (Res) Branca OK'!F8</f>
        <v>0.65128999999999992</v>
      </c>
      <c r="G135" s="98">
        <f>'[1]B1 (Res) Branca OK'!G8</f>
        <v>0.30579000000000001</v>
      </c>
      <c r="H135" s="98">
        <f>'[1]B1 (Res) Branca OK'!H8</f>
        <v>0.95707999999999993</v>
      </c>
      <c r="I135" s="98">
        <f>'[1]B1 (Res) Branca OK'!I8</f>
        <v>0.56275060606060612</v>
      </c>
      <c r="J135" s="98">
        <f>'[1]B1 (Res) Branca OK'!J8</f>
        <v>0.28972818181818183</v>
      </c>
      <c r="K135" s="101">
        <f t="shared" si="19"/>
        <v>0.85247878787878795</v>
      </c>
    </row>
  </sheetData>
  <mergeCells count="10">
    <mergeCell ref="R4:T4"/>
    <mergeCell ref="U4:W4"/>
    <mergeCell ref="K12:L12"/>
    <mergeCell ref="B43:H43"/>
    <mergeCell ref="H2:I2"/>
    <mergeCell ref="B4:B5"/>
    <mergeCell ref="C4:E4"/>
    <mergeCell ref="F4:H4"/>
    <mergeCell ref="I4:K4"/>
    <mergeCell ref="Q4:Q5"/>
  </mergeCells>
  <conditionalFormatting sqref="K13:L13">
    <cfRule type="cellIs" dxfId="125" priority="1" operator="equal">
      <formula>"Escassez Hídrica"</formula>
    </cfRule>
    <cfRule type="cellIs" dxfId="124" priority="2" operator="equal">
      <formula>"VERDE"</formula>
    </cfRule>
    <cfRule type="cellIs" dxfId="123" priority="3" operator="equal">
      <formula>"BVM2"</formula>
    </cfRule>
    <cfRule type="cellIs" dxfId="122" priority="4" operator="equal">
      <formula>"BVM1"</formula>
    </cfRule>
    <cfRule type="cellIs" dxfId="121" priority="5" operator="equal">
      <formula>"BAM"</formula>
    </cfRule>
  </conditionalFormatting>
  <conditionalFormatting sqref="M3">
    <cfRule type="cellIs" dxfId="120" priority="11" operator="equal">
      <formula>"VERDE"</formula>
    </cfRule>
    <cfRule type="cellIs" dxfId="119" priority="12" operator="equal">
      <formula>"BVM2"</formula>
    </cfRule>
    <cfRule type="cellIs" dxfId="118" priority="13" operator="equal">
      <formula>"BVM1"</formula>
    </cfRule>
    <cfRule type="cellIs" dxfId="117" priority="14" operator="equal">
      <formula>"BAM"</formula>
    </cfRule>
  </conditionalFormatting>
  <conditionalFormatting sqref="M7">
    <cfRule type="containsText" dxfId="116" priority="6" operator="containsText" text="Escassez Hídrica">
      <formula>NOT(ISERROR(SEARCH("Escassez Hídrica",M7)))</formula>
    </cfRule>
    <cfRule type="cellIs" dxfId="115" priority="7" operator="equal">
      <formula>"VERDE"</formula>
    </cfRule>
    <cfRule type="cellIs" dxfId="114" priority="8" operator="equal">
      <formula>"BVM2"</formula>
    </cfRule>
    <cfRule type="cellIs" dxfId="113" priority="9" operator="equal">
      <formula>"BVM1"</formula>
    </cfRule>
    <cfRule type="cellIs" dxfId="112" priority="10" operator="equal">
      <formula>"BAM"</formula>
    </cfRule>
  </conditionalFormatting>
  <dataValidations count="1">
    <dataValidation type="list" allowBlank="1" showInputMessage="1" showErrorMessage="1" sqref="K13:L13" xr:uid="{00000000-0002-0000-0D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M53"/>
  <sheetViews>
    <sheetView topLeftCell="A10" workbookViewId="0">
      <selection activeCell="B19" sqref="B19"/>
    </sheetView>
  </sheetViews>
  <sheetFormatPr defaultRowHeight="14.4" x14ac:dyDescent="0.3"/>
  <cols>
    <col min="1" max="1" width="31.77734375" bestFit="1" customWidth="1"/>
    <col min="2" max="2" width="11.77734375" style="8" bestFit="1" customWidth="1"/>
    <col min="3" max="4" width="8.77734375" style="8"/>
  </cols>
  <sheetData>
    <row r="1" spans="1:13" x14ac:dyDescent="0.3">
      <c r="A1" t="s">
        <v>380</v>
      </c>
      <c r="H1">
        <v>2023</v>
      </c>
      <c r="J1" t="s">
        <v>190</v>
      </c>
      <c r="K1" t="s">
        <v>191</v>
      </c>
      <c r="L1" t="s">
        <v>192</v>
      </c>
      <c r="M1" t="s">
        <v>193</v>
      </c>
    </row>
    <row r="2" spans="1:13" x14ac:dyDescent="0.3">
      <c r="B2" s="8" t="s">
        <v>14</v>
      </c>
      <c r="C2" s="8" t="s">
        <v>15</v>
      </c>
      <c r="D2" s="8" t="s">
        <v>16</v>
      </c>
      <c r="H2" t="s">
        <v>194</v>
      </c>
      <c r="J2" t="s">
        <v>195</v>
      </c>
      <c r="K2" t="s">
        <v>195</v>
      </c>
      <c r="L2" t="s">
        <v>195</v>
      </c>
      <c r="M2" t="s">
        <v>195</v>
      </c>
    </row>
    <row r="3" spans="1:13" x14ac:dyDescent="0.3">
      <c r="A3" t="s">
        <v>381</v>
      </c>
      <c r="B3" s="8">
        <v>0.48717335550261054</v>
      </c>
      <c r="C3" s="8">
        <v>0.29230403361942792</v>
      </c>
      <c r="D3" s="8">
        <v>9.7434711736245322E-2</v>
      </c>
    </row>
    <row r="4" spans="1:13" x14ac:dyDescent="0.3">
      <c r="A4" t="s">
        <v>382</v>
      </c>
      <c r="B4" s="8">
        <v>0.58086053925311254</v>
      </c>
      <c r="C4" s="8">
        <v>0.34851634386972913</v>
      </c>
      <c r="D4" s="8">
        <v>0.11617214848634573</v>
      </c>
      <c r="H4" t="s">
        <v>196</v>
      </c>
      <c r="J4">
        <v>0.39610181077247425</v>
      </c>
      <c r="K4">
        <v>0.118613227950104</v>
      </c>
      <c r="L4">
        <v>0.26846478876179447</v>
      </c>
      <c r="M4">
        <v>0.21682017251562719</v>
      </c>
    </row>
    <row r="5" spans="1:13" x14ac:dyDescent="0.3">
      <c r="A5" t="s">
        <v>383</v>
      </c>
      <c r="B5" s="8">
        <v>0.61833531116400509</v>
      </c>
      <c r="C5" s="8">
        <v>0.37100120701626477</v>
      </c>
      <c r="D5" s="8">
        <v>0.12366710286852428</v>
      </c>
      <c r="H5" t="s">
        <v>197</v>
      </c>
      <c r="J5">
        <v>0.47028263764897837</v>
      </c>
      <c r="K5">
        <v>0.14082677782171552</v>
      </c>
      <c r="L5">
        <v>0.31874211513588496</v>
      </c>
      <c r="M5">
        <v>7.0148469393421009E-2</v>
      </c>
    </row>
    <row r="6" spans="1:13" x14ac:dyDescent="0.3">
      <c r="A6" t="s">
        <v>384</v>
      </c>
      <c r="B6" s="8">
        <v>0.18737436750100406</v>
      </c>
      <c r="C6" s="8">
        <v>0</v>
      </c>
      <c r="D6" s="8">
        <v>0</v>
      </c>
      <c r="H6" t="s">
        <v>198</v>
      </c>
      <c r="J6">
        <v>0.39610181077247425</v>
      </c>
      <c r="K6">
        <v>0.118613227950104</v>
      </c>
      <c r="L6">
        <v>0.26846478876179447</v>
      </c>
      <c r="M6">
        <v>0.21682017251562719</v>
      </c>
    </row>
    <row r="7" spans="1:13" x14ac:dyDescent="0.3">
      <c r="A7" t="s">
        <v>385</v>
      </c>
      <c r="B7" s="8">
        <v>0.18737436750100406</v>
      </c>
      <c r="C7" s="8">
        <v>0</v>
      </c>
      <c r="D7" s="8">
        <v>0</v>
      </c>
      <c r="H7" t="s">
        <v>199</v>
      </c>
      <c r="J7">
        <v>0.39610181077247425</v>
      </c>
      <c r="K7">
        <v>0.118613227950104</v>
      </c>
      <c r="L7">
        <v>0.26846478876179447</v>
      </c>
      <c r="M7">
        <v>0.21682017251562719</v>
      </c>
    </row>
    <row r="8" spans="1:13" x14ac:dyDescent="0.3">
      <c r="A8" t="s">
        <v>386</v>
      </c>
      <c r="B8" s="8">
        <v>0.18737436750100406</v>
      </c>
      <c r="C8" s="8">
        <v>0</v>
      </c>
      <c r="D8" s="8">
        <v>0</v>
      </c>
      <c r="H8" t="s">
        <v>200</v>
      </c>
      <c r="J8">
        <v>0.39610181077247425</v>
      </c>
      <c r="K8">
        <v>0.118613227950104</v>
      </c>
      <c r="L8">
        <v>0.26846478876179447</v>
      </c>
      <c r="M8">
        <v>0.21682017251562719</v>
      </c>
    </row>
    <row r="9" spans="1:13" x14ac:dyDescent="0.3">
      <c r="A9" t="s">
        <v>387</v>
      </c>
      <c r="B9" s="8">
        <v>0.10305590212555224</v>
      </c>
      <c r="C9" s="8">
        <v>0</v>
      </c>
      <c r="D9" s="8">
        <v>0</v>
      </c>
      <c r="H9" t="s">
        <v>201</v>
      </c>
      <c r="J9">
        <v>0.39610181077247425</v>
      </c>
      <c r="K9">
        <v>0.118613227950104</v>
      </c>
      <c r="L9">
        <v>0.26846478876179447</v>
      </c>
      <c r="M9">
        <v>0.21682017251562719</v>
      </c>
    </row>
    <row r="10" spans="1:13" x14ac:dyDescent="0.3">
      <c r="A10" t="s">
        <v>388</v>
      </c>
      <c r="B10" s="8">
        <v>0.11242462050060242</v>
      </c>
      <c r="C10" s="8">
        <v>0</v>
      </c>
      <c r="D10" s="8">
        <v>0</v>
      </c>
      <c r="H10" t="s">
        <v>202</v>
      </c>
      <c r="J10">
        <v>0.39610181077247431</v>
      </c>
      <c r="K10">
        <v>0.11861322795010402</v>
      </c>
      <c r="L10">
        <v>0.26846478876179453</v>
      </c>
      <c r="M10">
        <v>0.21682017251562724</v>
      </c>
    </row>
    <row r="11" spans="1:13" x14ac:dyDescent="0.3">
      <c r="A11" t="s">
        <v>389</v>
      </c>
      <c r="B11" s="8">
        <v>6.5581029999999998E-2</v>
      </c>
      <c r="C11" s="8">
        <v>0</v>
      </c>
      <c r="D11" s="8">
        <v>0</v>
      </c>
      <c r="H11" t="s">
        <v>203</v>
      </c>
      <c r="J11">
        <v>0.39610181077247431</v>
      </c>
      <c r="K11">
        <v>0.11861322795010402</v>
      </c>
      <c r="L11">
        <v>0.26846478876179453</v>
      </c>
      <c r="M11">
        <v>0.21682017251562724</v>
      </c>
    </row>
    <row r="12" spans="1:13" x14ac:dyDescent="0.3">
      <c r="H12" t="s">
        <v>204</v>
      </c>
      <c r="J12">
        <v>0.44996260611889355</v>
      </c>
      <c r="K12">
        <v>9.0540746517073195E-2</v>
      </c>
      <c r="L12">
        <v>0.31304775341293184</v>
      </c>
      <c r="M12">
        <v>0.14644889395110131</v>
      </c>
    </row>
    <row r="14" spans="1:13" x14ac:dyDescent="0.3">
      <c r="A14" t="s">
        <v>390</v>
      </c>
      <c r="H14">
        <v>2024</v>
      </c>
      <c r="J14" t="s">
        <v>190</v>
      </c>
      <c r="K14" t="s">
        <v>191</v>
      </c>
      <c r="L14" t="s">
        <v>192</v>
      </c>
      <c r="M14" t="s">
        <v>193</v>
      </c>
    </row>
    <row r="15" spans="1:13" x14ac:dyDescent="0.3">
      <c r="B15" s="8" t="s">
        <v>14</v>
      </c>
      <c r="C15" s="8" t="s">
        <v>15</v>
      </c>
      <c r="D15" s="8" t="s">
        <v>16</v>
      </c>
      <c r="H15" t="s">
        <v>194</v>
      </c>
      <c r="J15" t="s">
        <v>195</v>
      </c>
      <c r="K15" t="s">
        <v>195</v>
      </c>
      <c r="L15" t="s">
        <v>195</v>
      </c>
      <c r="M15" t="s">
        <v>195</v>
      </c>
    </row>
    <row r="16" spans="1:13" x14ac:dyDescent="0.3">
      <c r="A16" t="s">
        <v>381</v>
      </c>
      <c r="B16" s="8">
        <v>0.51400286775744597</v>
      </c>
      <c r="C16" s="8">
        <v>0.30840174209127003</v>
      </c>
      <c r="D16" s="8">
        <v>0.102800616425095</v>
      </c>
    </row>
    <row r="17" spans="1:13" x14ac:dyDescent="0.3">
      <c r="A17" t="s">
        <v>382</v>
      </c>
      <c r="B17" s="8">
        <v>0.61284957309541599</v>
      </c>
      <c r="C17" s="8">
        <v>0.36770976529405303</v>
      </c>
      <c r="D17" s="8">
        <v>0.12256995749268899</v>
      </c>
      <c r="H17" t="s">
        <v>196</v>
      </c>
      <c r="J17">
        <v>0.41273682960000002</v>
      </c>
      <c r="K17">
        <v>9.8534926200000011E-2</v>
      </c>
      <c r="L17">
        <v>0.2916348184</v>
      </c>
      <c r="M17">
        <v>0.19709700829999999</v>
      </c>
    </row>
    <row r="18" spans="1:13" x14ac:dyDescent="0.3">
      <c r="A18" t="s">
        <v>383</v>
      </c>
      <c r="B18" s="8">
        <v>0.65238814804659107</v>
      </c>
      <c r="C18" s="8">
        <v>0.39143291026475702</v>
      </c>
      <c r="D18" s="8">
        <v>0.130477672482924</v>
      </c>
      <c r="H18" t="s">
        <v>197</v>
      </c>
      <c r="J18">
        <v>0.49306718250000003</v>
      </c>
      <c r="K18">
        <v>0.11771263169999999</v>
      </c>
      <c r="L18">
        <v>0.34839526770000001</v>
      </c>
      <c r="M18">
        <v>4.0810691699999999E-2</v>
      </c>
    </row>
    <row r="19" spans="1:13" x14ac:dyDescent="0.3">
      <c r="A19" t="s">
        <v>384</v>
      </c>
      <c r="B19" s="8">
        <v>0.19769341067594101</v>
      </c>
      <c r="C19" s="8">
        <v>0</v>
      </c>
      <c r="D19" s="8">
        <v>0</v>
      </c>
      <c r="H19" t="s">
        <v>198</v>
      </c>
      <c r="J19">
        <v>0.41273682960000002</v>
      </c>
      <c r="K19">
        <v>9.8534926200000011E-2</v>
      </c>
      <c r="L19">
        <v>0.2916348184</v>
      </c>
      <c r="M19">
        <v>0.19709700829999999</v>
      </c>
    </row>
    <row r="20" spans="1:13" x14ac:dyDescent="0.3">
      <c r="A20" t="s">
        <v>385</v>
      </c>
      <c r="B20" s="8">
        <v>0.19769341067594101</v>
      </c>
      <c r="C20" s="8">
        <v>0</v>
      </c>
      <c r="D20" s="8">
        <v>0</v>
      </c>
      <c r="H20" t="s">
        <v>199</v>
      </c>
      <c r="J20">
        <v>0.41273682960000002</v>
      </c>
      <c r="K20">
        <v>9.8534926200000011E-2</v>
      </c>
      <c r="L20">
        <v>0.2916348184</v>
      </c>
      <c r="M20">
        <v>0.19709700829999999</v>
      </c>
    </row>
    <row r="21" spans="1:13" x14ac:dyDescent="0.3">
      <c r="A21" t="s">
        <v>386</v>
      </c>
      <c r="B21" s="8">
        <v>0.19769341067594101</v>
      </c>
      <c r="C21" s="8">
        <v>0</v>
      </c>
      <c r="D21" s="8">
        <v>0</v>
      </c>
      <c r="H21" t="s">
        <v>200</v>
      </c>
      <c r="J21">
        <v>0.41273682960000002</v>
      </c>
      <c r="K21">
        <v>9.8534926200000011E-2</v>
      </c>
      <c r="L21">
        <v>0.2916348184</v>
      </c>
      <c r="M21">
        <v>0.19709700829999999</v>
      </c>
    </row>
    <row r="22" spans="1:13" x14ac:dyDescent="0.3">
      <c r="A22" t="s">
        <v>387</v>
      </c>
      <c r="B22" s="8">
        <v>0.10873138</v>
      </c>
      <c r="C22" s="8">
        <v>0</v>
      </c>
      <c r="D22" s="8">
        <v>0</v>
      </c>
      <c r="H22" t="s">
        <v>201</v>
      </c>
      <c r="J22">
        <v>0.41273682960000002</v>
      </c>
      <c r="K22">
        <v>9.8534926200000011E-2</v>
      </c>
      <c r="L22">
        <v>0.2916348184</v>
      </c>
      <c r="M22">
        <v>0.19709700829999999</v>
      </c>
    </row>
    <row r="23" spans="1:13" x14ac:dyDescent="0.3">
      <c r="A23" t="s">
        <v>388</v>
      </c>
      <c r="B23" s="8">
        <v>0.11861605</v>
      </c>
      <c r="C23" s="8">
        <v>0</v>
      </c>
      <c r="D23" s="8">
        <v>0</v>
      </c>
      <c r="H23" t="s">
        <v>202</v>
      </c>
      <c r="J23">
        <v>0.41273480010000002</v>
      </c>
      <c r="K23">
        <v>9.8534441600000008E-2</v>
      </c>
      <c r="L23">
        <v>0.29163338430000002</v>
      </c>
      <c r="M23">
        <v>0.19709603919999999</v>
      </c>
    </row>
    <row r="24" spans="1:13" x14ac:dyDescent="0.3">
      <c r="A24" t="s">
        <v>389</v>
      </c>
      <c r="B24" s="8">
        <v>0.19769341000000001</v>
      </c>
      <c r="C24" s="8">
        <v>0</v>
      </c>
      <c r="D24" s="8">
        <v>0</v>
      </c>
      <c r="H24" t="s">
        <v>203</v>
      </c>
      <c r="J24">
        <v>0.41274125779999998</v>
      </c>
      <c r="K24">
        <v>9.8535983300000005E-2</v>
      </c>
      <c r="L24">
        <v>0.29163794719999997</v>
      </c>
      <c r="M24">
        <v>0.19709912289999998</v>
      </c>
    </row>
    <row r="25" spans="1:13" x14ac:dyDescent="0.3">
      <c r="H25" t="s">
        <v>204</v>
      </c>
      <c r="J25">
        <v>0.41273480010000002</v>
      </c>
      <c r="K25">
        <v>9.8534441600000008E-2</v>
      </c>
      <c r="L25">
        <v>0.29163338430000002</v>
      </c>
      <c r="M25">
        <v>0.19709603919999999</v>
      </c>
    </row>
    <row r="26" spans="1:13" x14ac:dyDescent="0.3">
      <c r="A26" t="s">
        <v>391</v>
      </c>
    </row>
    <row r="27" spans="1:13" x14ac:dyDescent="0.3">
      <c r="B27" s="8" t="s">
        <v>14</v>
      </c>
      <c r="C27" s="8" t="s">
        <v>15</v>
      </c>
      <c r="D27" s="8" t="s">
        <v>16</v>
      </c>
      <c r="H27" t="s">
        <v>391</v>
      </c>
    </row>
    <row r="28" spans="1:13" x14ac:dyDescent="0.3">
      <c r="A28" t="s">
        <v>381</v>
      </c>
      <c r="B28" s="8">
        <f>((B3*[2]FIOB!$E$6)+(B16*[2]FIOB!$F$6))/([2]FIOB!$E$6+[2]FIOB!$F$6)</f>
        <v>0.51400286775744597</v>
      </c>
      <c r="C28" s="8">
        <f>((C3*[2]FIOB!$E$6)+(C16*[2]FIOB!$F$6))/([2]FIOB!$E$6+[2]FIOB!$F$6)</f>
        <v>0.30840174209127003</v>
      </c>
      <c r="D28" s="8">
        <f>((D3*[2]FIOB!$E$6)+(D16*[2]FIOB!$F$6))/([2]FIOB!$E$6+[2]FIOB!$F$6)</f>
        <v>0.102800616425095</v>
      </c>
      <c r="J28" t="s">
        <v>190</v>
      </c>
      <c r="K28" t="s">
        <v>191</v>
      </c>
      <c r="L28" t="s">
        <v>192</v>
      </c>
      <c r="M28" t="s">
        <v>193</v>
      </c>
    </row>
    <row r="29" spans="1:13" x14ac:dyDescent="0.3">
      <c r="A29" t="s">
        <v>382</v>
      </c>
      <c r="B29" s="8">
        <f>((B4*[2]FIOB!$E$6)+(B17*[2]FIOB!$F$6))/([2]FIOB!$E$6+[2]FIOB!$F$6)</f>
        <v>0.61284957309541599</v>
      </c>
      <c r="C29" s="8">
        <f>((C4*[2]FIOB!$E$6)+(C17*[2]FIOB!$F$6))/([2]FIOB!$E$6+[2]FIOB!$F$6)</f>
        <v>0.36770976529405303</v>
      </c>
      <c r="D29" s="8">
        <f>((D4*[2]FIOB!$E$6)+(D17*[2]FIOB!$F$6))/([2]FIOB!$E$6+[2]FIOB!$F$6)</f>
        <v>0.12256995749268899</v>
      </c>
      <c r="H29" t="s">
        <v>194</v>
      </c>
      <c r="J29" t="s">
        <v>195</v>
      </c>
      <c r="K29" t="s">
        <v>195</v>
      </c>
      <c r="L29" t="s">
        <v>195</v>
      </c>
      <c r="M29" t="s">
        <v>195</v>
      </c>
    </row>
    <row r="30" spans="1:13" x14ac:dyDescent="0.3">
      <c r="A30" t="s">
        <v>383</v>
      </c>
      <c r="B30" s="8">
        <f>((B5*[2]FIOB!$E$6)+(B18*[2]FIOB!$F$6))/([2]FIOB!$E$6+[2]FIOB!$F$6)</f>
        <v>0.65238814804659107</v>
      </c>
      <c r="C30" s="8">
        <f>((C5*[2]FIOB!$E$6)+(C18*[2]FIOB!$F$6))/([2]FIOB!$E$6+[2]FIOB!$F$6)</f>
        <v>0.39143291026475702</v>
      </c>
      <c r="D30" s="8">
        <f>((D5*[2]FIOB!$E$6)+(D18*[2]FIOB!$F$6))/([2]FIOB!$E$6+[2]FIOB!$F$6)</f>
        <v>0.130477672482924</v>
      </c>
    </row>
    <row r="31" spans="1:13" x14ac:dyDescent="0.3">
      <c r="A31" t="s">
        <v>384</v>
      </c>
      <c r="B31" s="8">
        <f>((B6*[2]FIOB!$E$6)+(B19*[2]FIOB!$F$6))/([2]FIOB!$E$6+[2]FIOB!$F$6)</f>
        <v>0.19769341067594098</v>
      </c>
      <c r="C31" s="8">
        <f>((C6*[2]FIOB!$E$6)+(C19*[2]FIOB!$F$6))/([2]FIOB!$E$6+[2]FIOB!$F$6)</f>
        <v>0</v>
      </c>
      <c r="D31" s="8">
        <f>((D6*[2]FIOB!$E$6)+(D19*[2]FIOB!$F$6))/([2]FIOB!$E$6+[2]FIOB!$F$6)</f>
        <v>0</v>
      </c>
      <c r="H31" t="s">
        <v>196</v>
      </c>
      <c r="J31">
        <v>0.41273682960000002</v>
      </c>
      <c r="K31">
        <v>9.8534926200000011E-2</v>
      </c>
      <c r="L31">
        <v>0.2916348184</v>
      </c>
      <c r="M31">
        <v>0.19709700829999999</v>
      </c>
    </row>
    <row r="32" spans="1:13" x14ac:dyDescent="0.3">
      <c r="A32" t="s">
        <v>385</v>
      </c>
      <c r="B32" s="8">
        <f>((B7*[2]FIOB!$E$6)+(B20*[2]FIOB!$F$6))/([2]FIOB!$E$6+[2]FIOB!$F$6)</f>
        <v>0.19769341067594098</v>
      </c>
      <c r="C32" s="8">
        <f>((C7*[2]FIOB!$E$6)+(C20*[2]FIOB!$F$6))/([2]FIOB!$E$6+[2]FIOB!$F$6)</f>
        <v>0</v>
      </c>
      <c r="D32" s="8">
        <f>((D7*[2]FIOB!$E$6)+(D20*[2]FIOB!$F$6))/([2]FIOB!$E$6+[2]FIOB!$F$6)</f>
        <v>0</v>
      </c>
      <c r="H32" t="s">
        <v>197</v>
      </c>
      <c r="J32">
        <v>0.49306718249999998</v>
      </c>
      <c r="K32">
        <v>0.11771263169999997</v>
      </c>
      <c r="L32">
        <v>0.34839526770000001</v>
      </c>
      <c r="M32">
        <v>4.0810691699999999E-2</v>
      </c>
    </row>
    <row r="33" spans="1:13" x14ac:dyDescent="0.3">
      <c r="A33" t="s">
        <v>386</v>
      </c>
      <c r="B33" s="8">
        <f>((B8*[2]FIOB!$E$6)+(B21*[2]FIOB!$F$6))/([2]FIOB!$E$6+[2]FIOB!$F$6)</f>
        <v>0.19769341067594098</v>
      </c>
      <c r="C33" s="8">
        <f>((C8*[2]FIOB!$E$6)+(C21*[2]FIOB!$F$6))/([2]FIOB!$E$6+[2]FIOB!$F$6)</f>
        <v>0</v>
      </c>
      <c r="D33" s="8">
        <f>((D8*[2]FIOB!$E$6)+(D21*[2]FIOB!$F$6))/([2]FIOB!$E$6+[2]FIOB!$F$6)</f>
        <v>0</v>
      </c>
      <c r="H33" t="s">
        <v>198</v>
      </c>
      <c r="J33">
        <v>0.41273682960000002</v>
      </c>
      <c r="K33">
        <v>9.8534926200000011E-2</v>
      </c>
      <c r="L33">
        <v>0.2916348184</v>
      </c>
      <c r="M33">
        <v>0.19709700829999999</v>
      </c>
    </row>
    <row r="34" spans="1:13" x14ac:dyDescent="0.3">
      <c r="A34" t="s">
        <v>387</v>
      </c>
      <c r="B34" s="8">
        <f>((B9*[2]FIOB!$E$6)+(B22*[2]FIOB!$F$6))/([2]FIOB!$E$6+[2]FIOB!$F$6)</f>
        <v>0.10873138</v>
      </c>
      <c r="C34" s="8">
        <f>((C9*[2]FIOB!$E$6)+(C22*[2]FIOB!$F$6))/([2]FIOB!$E$6+[2]FIOB!$F$6)</f>
        <v>0</v>
      </c>
      <c r="D34" s="8">
        <f>((D9*[2]FIOB!$E$6)+(D22*[2]FIOB!$F$6))/([2]FIOB!$E$6+[2]FIOB!$F$6)</f>
        <v>0</v>
      </c>
      <c r="H34" t="s">
        <v>199</v>
      </c>
      <c r="J34">
        <v>0.41273682960000002</v>
      </c>
      <c r="K34">
        <v>9.8534926200000011E-2</v>
      </c>
      <c r="L34">
        <v>0.2916348184</v>
      </c>
      <c r="M34">
        <v>0.19709700829999999</v>
      </c>
    </row>
    <row r="35" spans="1:13" x14ac:dyDescent="0.3">
      <c r="A35" t="s">
        <v>388</v>
      </c>
      <c r="B35" s="8">
        <f>((B10*[2]FIOB!$E$6)+(B23*[2]FIOB!$F$6))/([2]FIOB!$E$6+[2]FIOB!$F$6)</f>
        <v>0.11861605</v>
      </c>
      <c r="C35" s="8">
        <f>((C10*[2]FIOB!$E$6)+(C23*[2]FIOB!$F$6))/([2]FIOB!$E$6+[2]FIOB!$F$6)</f>
        <v>0</v>
      </c>
      <c r="D35" s="8">
        <f>((D10*[2]FIOB!$E$6)+(D23*[2]FIOB!$F$6))/([2]FIOB!$E$6+[2]FIOB!$F$6)</f>
        <v>0</v>
      </c>
      <c r="H35" t="s">
        <v>200</v>
      </c>
      <c r="J35">
        <v>0.41273682960000002</v>
      </c>
      <c r="K35">
        <v>9.8534926200000011E-2</v>
      </c>
      <c r="L35">
        <v>0.2916348184</v>
      </c>
      <c r="M35">
        <v>0.19709700829999999</v>
      </c>
    </row>
    <row r="36" spans="1:13" x14ac:dyDescent="0.3">
      <c r="A36" t="s">
        <v>389</v>
      </c>
      <c r="B36" s="8">
        <f>((B11*[2]FIOB!$E$6)+(B24*[2]FIOB!$F$6))/([2]FIOB!$E$6+[2]FIOB!$F$6)</f>
        <v>0.19769340999999999</v>
      </c>
      <c r="C36" s="8">
        <f>((C11*[2]FIOB!$E$6)+(C24*[2]FIOB!$F$6))/([2]FIOB!$E$6+[2]FIOB!$F$6)</f>
        <v>0</v>
      </c>
      <c r="D36" s="8">
        <f>((D11*[2]FIOB!$E$6)+(D24*[2]FIOB!$F$6))/([2]FIOB!$E$6+[2]FIOB!$F$6)</f>
        <v>0</v>
      </c>
      <c r="H36" t="s">
        <v>201</v>
      </c>
      <c r="J36">
        <v>0.41273682960000002</v>
      </c>
      <c r="K36">
        <v>9.8534926200000011E-2</v>
      </c>
      <c r="L36">
        <v>0.2916348184</v>
      </c>
      <c r="M36">
        <v>0.19709700829999999</v>
      </c>
    </row>
    <row r="37" spans="1:13" x14ac:dyDescent="0.3">
      <c r="A37" t="s">
        <v>392</v>
      </c>
      <c r="B37" s="8">
        <f>$B$36-($B$36*65%)</f>
        <v>6.9192693499999985E-2</v>
      </c>
      <c r="C37" s="8">
        <v>0</v>
      </c>
      <c r="D37" s="8">
        <v>0</v>
      </c>
      <c r="H37" t="s">
        <v>202</v>
      </c>
      <c r="J37">
        <v>0.41273480010000002</v>
      </c>
      <c r="K37">
        <v>9.8534441600000022E-2</v>
      </c>
      <c r="L37">
        <v>0.29163338430000002</v>
      </c>
      <c r="M37">
        <v>0.19709603919999999</v>
      </c>
    </row>
    <row r="38" spans="1:13" x14ac:dyDescent="0.3">
      <c r="A38" t="s">
        <v>393</v>
      </c>
      <c r="B38" s="8">
        <f>$B$36-($B$36*40%)</f>
        <v>0.11861604599999999</v>
      </c>
      <c r="C38" s="8">
        <v>0</v>
      </c>
      <c r="D38" s="8">
        <v>0</v>
      </c>
      <c r="H38" t="s">
        <v>203</v>
      </c>
      <c r="J38">
        <v>0.41274125779999998</v>
      </c>
      <c r="K38">
        <v>9.8535983299999991E-2</v>
      </c>
      <c r="L38">
        <v>0.29163794719999997</v>
      </c>
      <c r="M38">
        <v>0.19709912289999995</v>
      </c>
    </row>
    <row r="39" spans="1:13" x14ac:dyDescent="0.3">
      <c r="A39" t="s">
        <v>394</v>
      </c>
      <c r="B39" s="8">
        <f>$B$36-($B$36*10%)</f>
        <v>0.17792406899999999</v>
      </c>
      <c r="C39" s="8">
        <v>0</v>
      </c>
      <c r="D39" s="8">
        <v>0</v>
      </c>
      <c r="H39" t="s">
        <v>204</v>
      </c>
      <c r="J39">
        <v>0.41273480010000002</v>
      </c>
      <c r="K39">
        <v>9.8534441600000022E-2</v>
      </c>
      <c r="L39">
        <v>0.29163338430000002</v>
      </c>
      <c r="M39">
        <v>0.19709603919999999</v>
      </c>
    </row>
    <row r="40" spans="1:13" x14ac:dyDescent="0.3">
      <c r="A40" t="s">
        <v>395</v>
      </c>
      <c r="B40" s="8">
        <f>((B11*[2]FIOB!$E$6)+(B24*[2]FIOB!$F$6))/([2]FIOB!$E$6+[2]FIOB!$F$6)</f>
        <v>0.19769340999999999</v>
      </c>
      <c r="C40" s="8">
        <v>0</v>
      </c>
      <c r="D40" s="8">
        <v>0</v>
      </c>
    </row>
    <row r="44" spans="1:13" x14ac:dyDescent="0.3">
      <c r="A44" t="s">
        <v>392</v>
      </c>
      <c r="B44" s="8">
        <v>2.5043820000000001E-2</v>
      </c>
      <c r="C44" s="8">
        <v>0</v>
      </c>
      <c r="D44" s="8">
        <v>0</v>
      </c>
    </row>
    <row r="45" spans="1:13" x14ac:dyDescent="0.3">
      <c r="A45" t="s">
        <v>393</v>
      </c>
      <c r="B45" s="8">
        <v>4.293226E-2</v>
      </c>
      <c r="C45" s="8">
        <v>0</v>
      </c>
      <c r="D45" s="8">
        <v>0</v>
      </c>
    </row>
    <row r="46" spans="1:13" x14ac:dyDescent="0.3">
      <c r="A46" t="s">
        <v>394</v>
      </c>
      <c r="B46" s="8">
        <v>6.4398380000000005E-2</v>
      </c>
      <c r="C46" s="8">
        <v>0</v>
      </c>
      <c r="D46" s="8">
        <v>0</v>
      </c>
    </row>
    <row r="47" spans="1:13" x14ac:dyDescent="0.3">
      <c r="A47" t="s">
        <v>395</v>
      </c>
      <c r="B47" s="8">
        <v>7.1553759999999994E-2</v>
      </c>
      <c r="C47" s="8">
        <v>0</v>
      </c>
      <c r="D47" s="8">
        <v>0</v>
      </c>
    </row>
    <row r="50" spans="1:2" x14ac:dyDescent="0.3">
      <c r="A50" t="s">
        <v>389</v>
      </c>
      <c r="B50" s="8">
        <f>((B44*[2]FIOB!$E$6)+(B37*[2]FIOB!$F$6))/([2]FIOB!$E$6+[2]FIOB!$F$6)</f>
        <v>6.9192693499999985E-2</v>
      </c>
    </row>
    <row r="51" spans="1:2" x14ac:dyDescent="0.3">
      <c r="B51" s="8">
        <f>((B45*[2]FIOB!$E$6)+(B38*[2]FIOB!$F$6))/([2]FIOB!$E$6+[2]FIOB!$F$6)</f>
        <v>0.11861604599999998</v>
      </c>
    </row>
    <row r="52" spans="1:2" x14ac:dyDescent="0.3">
      <c r="B52" s="8">
        <f>((B46*[2]FIOB!$E$6)+(B39*[2]FIOB!$F$6))/([2]FIOB!$E$6+[2]FIOB!$F$6)</f>
        <v>0.17792406899999999</v>
      </c>
    </row>
    <row r="53" spans="1:2" x14ac:dyDescent="0.3">
      <c r="B53" s="8">
        <f>((B47*[2]FIOB!$E$6)+(B40*[2]FIOB!$F$6))/([2]FIOB!$E$6+[2]FIOB!$F$6)</f>
        <v>0.19769340999999999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8">
    <tabColor rgb="FF92D050"/>
  </sheetPr>
  <dimension ref="A1:Y120"/>
  <sheetViews>
    <sheetView showGridLines="0" topLeftCell="A23" zoomScaleNormal="100" workbookViewId="0">
      <selection activeCell="G35" sqref="G35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5.4414062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24</v>
      </c>
      <c r="E2" s="438" t="s">
        <v>211</v>
      </c>
      <c r="F2" s="439">
        <f>'B1CDE '!F2</f>
        <v>46023</v>
      </c>
      <c r="G2" s="25" t="s">
        <v>210</v>
      </c>
      <c r="J2" s="25"/>
      <c r="K2" s="25"/>
    </row>
    <row r="4" spans="1:20" ht="15" customHeight="1" x14ac:dyDescent="0.3">
      <c r="B4" s="802" t="s">
        <v>212</v>
      </c>
      <c r="C4" s="803" t="s">
        <v>213</v>
      </c>
      <c r="D4" s="803"/>
      <c r="E4" s="803"/>
      <c r="F4" s="803" t="s">
        <v>214</v>
      </c>
      <c r="G4" s="803"/>
      <c r="H4" s="803"/>
      <c r="I4" s="804" t="s">
        <v>215</v>
      </c>
      <c r="J4" s="804"/>
      <c r="K4" s="804"/>
    </row>
    <row r="5" spans="1:20" x14ac:dyDescent="0.3">
      <c r="B5" s="802"/>
      <c r="C5" s="448" t="s">
        <v>217</v>
      </c>
      <c r="D5" s="448" t="s">
        <v>7</v>
      </c>
      <c r="E5" s="448" t="s">
        <v>218</v>
      </c>
      <c r="F5" s="448" t="s">
        <v>217</v>
      </c>
      <c r="G5" s="448" t="s">
        <v>7</v>
      </c>
      <c r="H5" s="448" t="s">
        <v>218</v>
      </c>
      <c r="I5" s="473" t="s">
        <v>217</v>
      </c>
      <c r="J5" s="473" t="s">
        <v>7</v>
      </c>
      <c r="K5" s="473" t="s">
        <v>218</v>
      </c>
    </row>
    <row r="6" spans="1:20" ht="18" x14ac:dyDescent="0.3">
      <c r="B6" s="474" t="s">
        <v>24</v>
      </c>
      <c r="C6" s="475">
        <v>0.39694999999999997</v>
      </c>
      <c r="D6" s="475">
        <v>0.28093000000000001</v>
      </c>
      <c r="E6" s="475"/>
      <c r="F6" s="476">
        <v>0.45667000000000002</v>
      </c>
      <c r="G6" s="476">
        <v>0.33002999999999999</v>
      </c>
      <c r="H6" s="475"/>
      <c r="I6" s="475">
        <f>((C6*$C$26)+(F6*$D$26))/($D$26+$C$26)</f>
        <v>0.45667000000000002</v>
      </c>
      <c r="J6" s="475">
        <f>((D6*$C$26)+(G6*$D$26))/($D$26+$C$26)</f>
        <v>0.33002999999999999</v>
      </c>
      <c r="K6" s="475"/>
    </row>
    <row r="7" spans="1:20" x14ac:dyDescent="0.3">
      <c r="A7" s="27" t="s">
        <v>210</v>
      </c>
      <c r="B7" s="477" t="s">
        <v>216</v>
      </c>
      <c r="C7" s="475">
        <v>1.1506162773328076E-4</v>
      </c>
      <c r="D7" s="475">
        <v>-2.0731505487585774E-3</v>
      </c>
      <c r="E7" s="475"/>
      <c r="F7" s="476">
        <v>1.2448550414992767E-4</v>
      </c>
      <c r="G7" s="476">
        <v>-1.27319E-3</v>
      </c>
      <c r="H7" s="475"/>
      <c r="I7" s="475">
        <f>((C7*$C$26)+(F7*$D$26))/($D$26+$C$26)</f>
        <v>1.2448550414992767E-4</v>
      </c>
      <c r="J7" s="475">
        <f>((D7*$C$26)+(G7*$D$26))/($D$26+$C$26)</f>
        <v>-1.27319E-3</v>
      </c>
      <c r="K7" s="475"/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40" t="s">
        <v>227</v>
      </c>
      <c r="K10" s="440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41" t="s">
        <v>229</v>
      </c>
      <c r="C11" s="441" t="s">
        <v>230</v>
      </c>
      <c r="F11" s="27"/>
      <c r="G11" s="27"/>
      <c r="J11" s="442">
        <f>IF(AND($B$26&lt;$F$2,$E$26&lt;$F$2),#REF!,IF($B$26&lt;$F$2,K15,J15))</f>
        <v>0.198765645709125</v>
      </c>
      <c r="K11" s="443">
        <f>D31*J11</f>
        <v>9.9382822854562498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38" t="s">
        <v>201</v>
      </c>
      <c r="C12" s="444">
        <f>J51</f>
        <v>39.739999999999995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445" t="s">
        <v>231</v>
      </c>
      <c r="J13" s="445" t="s">
        <v>232</v>
      </c>
      <c r="K13" s="44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46"/>
      <c r="C14" s="447" t="s">
        <v>170</v>
      </c>
      <c r="D14" s="27"/>
      <c r="E14" s="27"/>
      <c r="F14" s="27"/>
      <c r="G14" s="27"/>
      <c r="I14" s="448" t="s">
        <v>234</v>
      </c>
      <c r="J14" s="448" t="s">
        <v>234</v>
      </c>
      <c r="K14" s="44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46" t="s">
        <v>190</v>
      </c>
      <c r="C15" s="444">
        <f>$C$12*(VLOOKUP($B$12,B112:G120,3,0))</f>
        <v>15.804279205644088</v>
      </c>
      <c r="D15" s="27"/>
      <c r="E15" s="27"/>
      <c r="F15" s="27"/>
      <c r="G15" s="27"/>
      <c r="I15" s="449">
        <v>0.19769341067594101</v>
      </c>
      <c r="J15" s="449">
        <v>0.198765645709125</v>
      </c>
      <c r="K15" s="449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46" t="s">
        <v>192</v>
      </c>
      <c r="C16" s="444">
        <f>$C$12*(VLOOKUP($B$12,B112:G120,5,0))</f>
        <v>10.040608568044522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46" t="s">
        <v>191</v>
      </c>
      <c r="C17" s="444">
        <f>$C$12*(VLOOKUP($B$12,B112:G120,4,0))</f>
        <v>3.3829774569418092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46" t="s">
        <v>235</v>
      </c>
      <c r="C18" s="444">
        <f>$C$12*(VLOOKUP($B$12,B112:G120,6,0))</f>
        <v>10.512134769369576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46" t="s">
        <v>236</v>
      </c>
      <c r="C19" s="444">
        <f>L51</f>
        <v>10.727733659675859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47" t="s">
        <v>237</v>
      </c>
      <c r="C20" s="450">
        <f>SUM(C15:C19)</f>
        <v>50.467733659675858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f>'B1C ICMS'!B26</f>
        <v>46125</v>
      </c>
      <c r="C26" s="32">
        <f>IF((F2-B26-1)&lt;0,0,(F2-B26-1))</f>
        <v>0</v>
      </c>
      <c r="D26" s="32">
        <f>E26-F2+1</f>
        <v>133</v>
      </c>
      <c r="E26" s="122">
        <f>'B1C ICMS'!E26</f>
        <v>46155</v>
      </c>
      <c r="F26" s="451">
        <f>E26</f>
        <v>46155</v>
      </c>
      <c r="G26" s="25"/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50</v>
      </c>
      <c r="E31" s="171">
        <f>(ROUND(D31*K31,2)+ROUND(G31,2)+ROUND(J31,2))/ROUND(D31,4)</f>
        <v>0.57979999999999998</v>
      </c>
      <c r="F31" s="169">
        <f>ROUND(D31*E31,2)</f>
        <v>28.99</v>
      </c>
      <c r="G31" s="169">
        <f>((D31*K31)/(1-$N$31-$N$32))*($N$31+$N$32)</f>
        <v>0.94396537540351966</v>
      </c>
      <c r="H31" s="176">
        <f>ROUND((D31*K31)/(1-$N$31-$N$32)/(1-$I$31),8)</f>
        <v>28.996908990000001</v>
      </c>
      <c r="I31" s="247">
        <v>0.18</v>
      </c>
      <c r="J31" s="176">
        <f>H31*$I$31</f>
        <v>5.2194436181999997</v>
      </c>
      <c r="K31" s="267">
        <f>I6</f>
        <v>0.45667000000000002</v>
      </c>
      <c r="L31" s="95" t="s">
        <v>263</v>
      </c>
      <c r="M31" s="169">
        <f>D66</f>
        <v>41.382901176715606</v>
      </c>
      <c r="N31" s="237">
        <f>'B1C ICMS'!N31</f>
        <v>7.1000000000000004E-3</v>
      </c>
      <c r="O31" s="178">
        <f>ROUND(M31*N31,2)</f>
        <v>0.28999999999999998</v>
      </c>
      <c r="P31" s="157">
        <f>D31*K31</f>
        <v>22.833500000000001</v>
      </c>
    </row>
    <row r="32" spans="1:25" x14ac:dyDescent="0.3">
      <c r="B32" s="163" t="s">
        <v>289</v>
      </c>
      <c r="C32" s="164" t="s">
        <v>262</v>
      </c>
      <c r="D32" s="184">
        <f>D31</f>
        <v>50</v>
      </c>
      <c r="E32" s="171">
        <f>(ROUND(D32*K32,2)+ROUND(G32,2)+ROUND(J32,2))/ROUND(D32,4)</f>
        <v>0.41899999999999998</v>
      </c>
      <c r="F32" s="169">
        <f t="shared" ref="F32:F36" si="0">ROUND(D32*E32,2)</f>
        <v>20.95</v>
      </c>
      <c r="G32" s="169">
        <f>((D32*K32)/(1-$N$31-$N$32))*($N$31+$N$32)</f>
        <v>0.68219259606373006</v>
      </c>
      <c r="H32" s="176">
        <f t="shared" ref="H32:H36" si="1">(D32*K32)/(1-$N$31-$N$32)/(1-$I$31)</f>
        <v>20.955722678126499</v>
      </c>
      <c r="I32" s="163"/>
      <c r="J32" s="176">
        <f t="shared" ref="J32:J36" si="2">H32*$I$31</f>
        <v>3.7720300820627695</v>
      </c>
      <c r="K32" s="267">
        <f>J6</f>
        <v>0.33002999999999999</v>
      </c>
      <c r="L32" s="95" t="s">
        <v>265</v>
      </c>
      <c r="M32" s="169">
        <f>M31</f>
        <v>41.382901176715606</v>
      </c>
      <c r="N32" s="237">
        <f>'B1C ICMS'!N32</f>
        <v>3.2599999999999997E-2</v>
      </c>
      <c r="O32" s="178">
        <f>ROUND(M32*N32,2)</f>
        <v>1.35</v>
      </c>
      <c r="P32" s="157">
        <f>D32*K32</f>
        <v>16.5015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21.666666666666668</v>
      </c>
      <c r="E33" s="171">
        <f>IFERROR((ROUND(D33*K33,2)+ROUND(G33,2)+ROUND(J33,2))/ROUND(D33,4), 0)</f>
        <v>2.3999963076979883E-2</v>
      </c>
      <c r="F33" s="169">
        <f t="shared" si="0"/>
        <v>0.52</v>
      </c>
      <c r="G33" s="169">
        <f t="shared" ref="G33:G36" si="3">((D33*K33)/(1-$N$31-$N$32))*($N$31+$N$32)</f>
        <v>1.688445451074317E-2</v>
      </c>
      <c r="H33" s="176">
        <f t="shared" si="1"/>
        <v>0.51865990387489003</v>
      </c>
      <c r="I33" s="163"/>
      <c r="J33" s="176">
        <f t="shared" si="2"/>
        <v>9.33587826974802E-2</v>
      </c>
      <c r="K33" s="171">
        <f>N23</f>
        <v>1.8849999999999999E-2</v>
      </c>
      <c r="L33" s="63"/>
      <c r="M33" s="166"/>
      <c r="N33" s="166"/>
      <c r="O33" s="166"/>
      <c r="P33" s="157">
        <f>D33*K33</f>
        <v>0.40841666666666665</v>
      </c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5" si="4">K34/(1-$N$31-$N$32)/(1-$I$31)</f>
        <v>5.6676902289172847E-2</v>
      </c>
      <c r="F34" s="169">
        <f t="shared" si="0"/>
        <v>0</v>
      </c>
      <c r="G34" s="169">
        <f t="shared" si="3"/>
        <v>0</v>
      </c>
      <c r="H34" s="176">
        <f t="shared" si="1"/>
        <v>0</v>
      </c>
      <c r="I34" s="163"/>
      <c r="J34" s="176">
        <f t="shared" si="2"/>
        <v>0</v>
      </c>
      <c r="K34" s="171">
        <f>N24</f>
        <v>4.4630000000000003E-2</v>
      </c>
      <c r="O34" s="46"/>
      <c r="P34" s="609">
        <f>SUM(P31:P33)*0.06</f>
        <v>2.3846050000000001</v>
      </c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4"/>
        <v>0.10003225618010632</v>
      </c>
      <c r="F35" s="169">
        <f t="shared" si="0"/>
        <v>0</v>
      </c>
      <c r="G35" s="169">
        <f t="shared" si="3"/>
        <v>0</v>
      </c>
      <c r="H35" s="176">
        <f t="shared" si="1"/>
        <v>0</v>
      </c>
      <c r="I35" s="163"/>
      <c r="J35" s="176">
        <f t="shared" si="2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/>
      <c r="C36" s="164"/>
      <c r="D36" s="184"/>
      <c r="E36" s="171"/>
      <c r="F36" s="169">
        <f t="shared" si="0"/>
        <v>0</v>
      </c>
      <c r="G36" s="169">
        <f t="shared" si="3"/>
        <v>0</v>
      </c>
      <c r="H36" s="176">
        <f t="shared" si="1"/>
        <v>0</v>
      </c>
      <c r="I36" s="163"/>
      <c r="J36" s="176">
        <f t="shared" si="2"/>
        <v>0</v>
      </c>
      <c r="K36" s="171">
        <f>N26</f>
        <v>0.14199999999999999</v>
      </c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5">
        <v>2.39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/>
      <c r="G38" s="163"/>
      <c r="H38" s="163"/>
      <c r="I38" s="163"/>
      <c r="J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/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/>
      <c r="G40" s="163"/>
      <c r="H40" s="163"/>
      <c r="I40" s="163"/>
      <c r="J40" s="163"/>
      <c r="K40" s="163"/>
      <c r="O40" s="46"/>
      <c r="R40" s="187"/>
    </row>
    <row r="41" spans="2:19" x14ac:dyDescent="0.3">
      <c r="B41" s="343" t="s">
        <v>272</v>
      </c>
      <c r="C41" s="343"/>
      <c r="D41" s="344"/>
      <c r="E41" s="343"/>
      <c r="F41" s="345"/>
      <c r="G41" s="163"/>
      <c r="H41" s="163"/>
      <c r="I41" s="163"/>
      <c r="J41" s="163"/>
      <c r="K41" s="163"/>
      <c r="O41" s="46"/>
    </row>
    <row r="42" spans="2:19" x14ac:dyDescent="0.3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ht="18" x14ac:dyDescent="0.3">
      <c r="B44" s="170" t="s">
        <v>177</v>
      </c>
      <c r="C44" s="166"/>
      <c r="D44" s="185"/>
      <c r="E44" s="166"/>
      <c r="F44" s="172">
        <f>SUM(F31:F43)</f>
        <v>52.85</v>
      </c>
      <c r="G44" s="175">
        <f>SUM(G31:G43)</f>
        <v>1.643042425977993</v>
      </c>
      <c r="H44" s="177">
        <f>SUM(H31:H43)</f>
        <v>50.471291572001391</v>
      </c>
      <c r="I44" s="166"/>
      <c r="J44" s="177">
        <f>SUM(J31:J43)</f>
        <v>9.08483248296025</v>
      </c>
      <c r="K44" s="166"/>
      <c r="L44" s="53"/>
      <c r="M44" s="53"/>
      <c r="N44" s="53"/>
      <c r="O44" s="256">
        <f>F44</f>
        <v>52.85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-5.7435224792503618E-2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800">
        <f>SUM(H54:H60)</f>
        <v>39.739999999999995</v>
      </c>
      <c r="K51" s="801"/>
      <c r="L51" s="800">
        <f>SUM(H66:H68)</f>
        <v>10.727733659675859</v>
      </c>
      <c r="M51" s="80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50.467733659675858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123">
        <f>D31</f>
        <v>50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39.33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21.666666666666668</v>
      </c>
      <c r="E57" s="27"/>
      <c r="F57" s="48">
        <f>N23</f>
        <v>1.8849999999999999E-2</v>
      </c>
      <c r="G57" s="48"/>
      <c r="H57" s="42">
        <f>ROUND(D57*(E57+F57),2)</f>
        <v>0.41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41.382901176715606</v>
      </c>
      <c r="E66" s="215">
        <f>N31</f>
        <v>7.1000000000000004E-3</v>
      </c>
      <c r="F66" s="27"/>
      <c r="G66" s="27"/>
      <c r="H66" s="42">
        <f>D66*E66</f>
        <v>0.29381859835468083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41.382901176715606</v>
      </c>
      <c r="E67" s="215">
        <f>N32</f>
        <v>3.2599999999999997E-2</v>
      </c>
      <c r="F67" s="27"/>
      <c r="G67" s="27"/>
      <c r="H67" s="42">
        <f>D67*E67</f>
        <v>1.3490825783609286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50.471291572001391</v>
      </c>
      <c r="E68" s="249">
        <f>I31</f>
        <v>0.18</v>
      </c>
      <c r="F68" s="27"/>
      <c r="G68" s="27"/>
      <c r="H68" s="42">
        <f>D68*E68</f>
        <v>9.08483248296025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05" t="s">
        <v>191</v>
      </c>
      <c r="F81" s="305" t="s">
        <v>192</v>
      </c>
      <c r="G81" s="30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05"/>
      <c r="E83" s="305"/>
      <c r="F83" s="305"/>
      <c r="G83" s="305"/>
    </row>
    <row r="84" spans="2:10" x14ac:dyDescent="0.3">
      <c r="B84" s="35" t="s">
        <v>196</v>
      </c>
      <c r="C84" s="35"/>
      <c r="D84" s="306">
        <v>0.39769197799808981</v>
      </c>
      <c r="E84" s="306">
        <v>8.512776690845017E-2</v>
      </c>
      <c r="F84" s="306">
        <v>0.25265748787228293</v>
      </c>
      <c r="G84" s="306">
        <v>0.26452276722117707</v>
      </c>
    </row>
    <row r="85" spans="2:10" x14ac:dyDescent="0.3">
      <c r="B85" s="35" t="s">
        <v>197</v>
      </c>
      <c r="C85" s="35"/>
      <c r="D85" s="306">
        <v>0.51666134768573579</v>
      </c>
      <c r="E85" s="306">
        <v>0.11059369866547396</v>
      </c>
      <c r="F85" s="306">
        <v>0.32823985750000007</v>
      </c>
      <c r="G85" s="306">
        <v>4.4505096148790169E-2</v>
      </c>
    </row>
    <row r="86" spans="2:10" x14ac:dyDescent="0.3">
      <c r="B86" s="35" t="s">
        <v>198</v>
      </c>
      <c r="C86" s="35"/>
      <c r="D86" s="306">
        <v>0.39769197799808981</v>
      </c>
      <c r="E86" s="306">
        <v>8.512776690845017E-2</v>
      </c>
      <c r="F86" s="306">
        <v>0.25265748787228293</v>
      </c>
      <c r="G86" s="306">
        <v>0.26452276722117707</v>
      </c>
    </row>
    <row r="87" spans="2:10" x14ac:dyDescent="0.3">
      <c r="B87" s="35" t="s">
        <v>199</v>
      </c>
      <c r="C87" s="35"/>
      <c r="D87" s="306">
        <v>0.39769197799808981</v>
      </c>
      <c r="E87" s="306">
        <v>8.512776690845017E-2</v>
      </c>
      <c r="F87" s="306">
        <v>0.25265748787228293</v>
      </c>
      <c r="G87" s="306">
        <v>0.26452276722117707</v>
      </c>
      <c r="J87" s="30"/>
    </row>
    <row r="88" spans="2:10" x14ac:dyDescent="0.3">
      <c r="B88" s="35" t="s">
        <v>200</v>
      </c>
      <c r="C88" s="35"/>
      <c r="D88" s="306">
        <v>0.39769197799808981</v>
      </c>
      <c r="E88" s="306">
        <v>8.512776690845017E-2</v>
      </c>
      <c r="F88" s="306">
        <v>0.25265748787228293</v>
      </c>
      <c r="G88" s="306">
        <v>0.26452276722117707</v>
      </c>
    </row>
    <row r="89" spans="2:10" x14ac:dyDescent="0.3">
      <c r="B89" s="35" t="s">
        <v>201</v>
      </c>
      <c r="C89" s="35"/>
      <c r="D89" s="306">
        <v>0.39769197799808981</v>
      </c>
      <c r="E89" s="306">
        <v>8.512776690845017E-2</v>
      </c>
      <c r="F89" s="306">
        <v>0.25265748787228293</v>
      </c>
      <c r="G89" s="306">
        <v>0.26452276722117707</v>
      </c>
    </row>
    <row r="90" spans="2:10" x14ac:dyDescent="0.3">
      <c r="B90" s="35" t="s">
        <v>202</v>
      </c>
      <c r="C90" s="35"/>
      <c r="D90" s="306">
        <v>0.39769197799808981</v>
      </c>
      <c r="E90" s="306">
        <v>8.512776690845017E-2</v>
      </c>
      <c r="F90" s="306">
        <v>0.25265748787228293</v>
      </c>
      <c r="G90" s="306">
        <v>0.26452276722117707</v>
      </c>
    </row>
    <row r="91" spans="2:10" x14ac:dyDescent="0.3">
      <c r="B91" s="35" t="s">
        <v>203</v>
      </c>
      <c r="C91" s="35"/>
      <c r="D91" s="306">
        <v>0.39769197799808981</v>
      </c>
      <c r="E91" s="306">
        <v>8.512776690845017E-2</v>
      </c>
      <c r="F91" s="306">
        <v>0.25265748787228293</v>
      </c>
      <c r="G91" s="306">
        <v>0.26452276722117707</v>
      </c>
    </row>
    <row r="92" spans="2:10" x14ac:dyDescent="0.3">
      <c r="B92" s="35" t="s">
        <v>204</v>
      </c>
      <c r="C92" s="35"/>
      <c r="D92" s="306">
        <v>0.39769197799808981</v>
      </c>
      <c r="E92" s="306">
        <v>8.512776690845017E-2</v>
      </c>
      <c r="F92" s="306">
        <v>0.25265748787228293</v>
      </c>
      <c r="G92" s="306">
        <v>0.26452276722117707</v>
      </c>
    </row>
    <row r="93" spans="2:10" x14ac:dyDescent="0.3">
      <c r="B93" s="64"/>
      <c r="C93" s="64"/>
      <c r="D93" s="119"/>
      <c r="E93" s="119"/>
      <c r="F93" s="119"/>
      <c r="G93" s="119"/>
    </row>
    <row r="94" spans="2:10" x14ac:dyDescent="0.3">
      <c r="B94" s="64"/>
      <c r="C94" s="64"/>
      <c r="D94" s="119"/>
      <c r="E94" s="119"/>
      <c r="F94" s="119"/>
      <c r="G94" s="119"/>
    </row>
    <row r="95" spans="2:10" x14ac:dyDescent="0.3">
      <c r="B95" s="35">
        <v>2025</v>
      </c>
      <c r="C95" s="35"/>
      <c r="D95" s="305" t="s">
        <v>190</v>
      </c>
      <c r="E95" s="305" t="s">
        <v>191</v>
      </c>
      <c r="F95" s="305" t="s">
        <v>192</v>
      </c>
      <c r="G95" s="305" t="s">
        <v>193</v>
      </c>
    </row>
    <row r="96" spans="2:10" x14ac:dyDescent="0.3">
      <c r="B96" s="35" t="s">
        <v>194</v>
      </c>
      <c r="C96" s="35"/>
      <c r="D96" s="305" t="s">
        <v>195</v>
      </c>
      <c r="E96" s="305" t="s">
        <v>195</v>
      </c>
      <c r="F96" s="305" t="s">
        <v>195</v>
      </c>
      <c r="G96" s="305" t="s">
        <v>195</v>
      </c>
    </row>
    <row r="97" spans="2:7" x14ac:dyDescent="0.3">
      <c r="B97" s="35"/>
      <c r="C97" s="35"/>
      <c r="D97" s="305"/>
      <c r="E97" s="305"/>
      <c r="F97" s="305"/>
      <c r="G97" s="305"/>
    </row>
    <row r="98" spans="2:7" x14ac:dyDescent="0.3">
      <c r="B98" s="35" t="s">
        <v>196</v>
      </c>
      <c r="C98" s="35"/>
      <c r="D98" s="306">
        <v>0.41273682960000002</v>
      </c>
      <c r="E98" s="306">
        <v>9.8534926200000011E-2</v>
      </c>
      <c r="F98" s="306">
        <v>0.2916348184</v>
      </c>
      <c r="G98" s="306">
        <v>0.19709700829999999</v>
      </c>
    </row>
    <row r="99" spans="2:7" x14ac:dyDescent="0.3">
      <c r="B99" s="35" t="s">
        <v>197</v>
      </c>
      <c r="C99" s="35"/>
      <c r="D99" s="306">
        <v>0.49306718250000003</v>
      </c>
      <c r="E99" s="306">
        <v>0.11771263169999999</v>
      </c>
      <c r="F99" s="306">
        <v>0.34839526770000001</v>
      </c>
      <c r="G99" s="306">
        <v>4.0810691699999999E-2</v>
      </c>
    </row>
    <row r="100" spans="2:7" x14ac:dyDescent="0.3">
      <c r="B100" s="35" t="s">
        <v>198</v>
      </c>
      <c r="C100" s="35"/>
      <c r="D100" s="306">
        <v>0.41273682960000002</v>
      </c>
      <c r="E100" s="306">
        <v>9.8534926200000011E-2</v>
      </c>
      <c r="F100" s="306">
        <v>0.2916348184</v>
      </c>
      <c r="G100" s="306">
        <v>0.19709700829999999</v>
      </c>
    </row>
    <row r="101" spans="2:7" x14ac:dyDescent="0.3">
      <c r="B101" s="35" t="s">
        <v>199</v>
      </c>
      <c r="C101" s="35"/>
      <c r="D101" s="306">
        <v>0.41273682960000002</v>
      </c>
      <c r="E101" s="306">
        <v>9.8534926200000011E-2</v>
      </c>
      <c r="F101" s="306">
        <v>0.2916348184</v>
      </c>
      <c r="G101" s="306">
        <v>0.19709700829999999</v>
      </c>
    </row>
    <row r="102" spans="2:7" x14ac:dyDescent="0.3">
      <c r="B102" s="35" t="s">
        <v>200</v>
      </c>
      <c r="C102" s="35"/>
      <c r="D102" s="306">
        <v>0.41273682960000002</v>
      </c>
      <c r="E102" s="306">
        <v>9.8534926200000011E-2</v>
      </c>
      <c r="F102" s="306">
        <v>0.2916348184</v>
      </c>
      <c r="G102" s="306">
        <v>0.19709700829999999</v>
      </c>
    </row>
    <row r="103" spans="2:7" x14ac:dyDescent="0.3">
      <c r="B103" s="35" t="s">
        <v>201</v>
      </c>
      <c r="C103" s="35"/>
      <c r="D103" s="306">
        <v>0.41273682960000002</v>
      </c>
      <c r="E103" s="306">
        <v>9.8534926200000011E-2</v>
      </c>
      <c r="F103" s="306">
        <v>0.2916348184</v>
      </c>
      <c r="G103" s="306">
        <v>0.19709700829999999</v>
      </c>
    </row>
    <row r="104" spans="2:7" x14ac:dyDescent="0.3">
      <c r="B104" s="35" t="s">
        <v>202</v>
      </c>
      <c r="C104" s="35"/>
      <c r="D104" s="306">
        <v>0.41273480010000002</v>
      </c>
      <c r="E104" s="306">
        <v>9.8534441600000008E-2</v>
      </c>
      <c r="F104" s="306">
        <v>0.29163338430000002</v>
      </c>
      <c r="G104" s="306">
        <v>0.19709603919999999</v>
      </c>
    </row>
    <row r="105" spans="2:7" x14ac:dyDescent="0.3">
      <c r="B105" s="35" t="s">
        <v>203</v>
      </c>
      <c r="C105" s="35"/>
      <c r="D105" s="306">
        <v>0.41274125779999998</v>
      </c>
      <c r="E105" s="306">
        <v>9.8535983300000005E-2</v>
      </c>
      <c r="F105" s="306">
        <v>0.29163794719999997</v>
      </c>
      <c r="G105" s="306">
        <v>0.19709912289999998</v>
      </c>
    </row>
    <row r="106" spans="2:7" x14ac:dyDescent="0.3">
      <c r="B106" s="35" t="s">
        <v>204</v>
      </c>
      <c r="C106" s="35"/>
      <c r="D106" s="306">
        <v>0.41273480010000002</v>
      </c>
      <c r="E106" s="306">
        <v>9.8534441600000008E-2</v>
      </c>
      <c r="F106" s="306">
        <v>0.29163338430000002</v>
      </c>
      <c r="G106" s="306">
        <v>0.19709603919999999</v>
      </c>
    </row>
    <row r="107" spans="2:7" x14ac:dyDescent="0.3">
      <c r="B107" s="64"/>
      <c r="C107" s="64"/>
      <c r="D107" s="119"/>
      <c r="E107" s="119"/>
      <c r="F107" s="119"/>
      <c r="G107" s="119"/>
    </row>
    <row r="108" spans="2:7" x14ac:dyDescent="0.3">
      <c r="B108" s="135" t="s">
        <v>284</v>
      </c>
      <c r="C108" s="64"/>
      <c r="D108" s="119"/>
      <c r="E108" s="119"/>
      <c r="F108" s="119"/>
      <c r="G108" s="119"/>
    </row>
    <row r="109" spans="2:7" x14ac:dyDescent="0.3">
      <c r="B109" s="35"/>
      <c r="C109" s="35"/>
      <c r="D109" s="305" t="s">
        <v>190</v>
      </c>
      <c r="E109" s="305" t="s">
        <v>191</v>
      </c>
      <c r="F109" s="305" t="s">
        <v>192</v>
      </c>
      <c r="G109" s="30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306"/>
      <c r="E111" s="306"/>
      <c r="F111" s="306"/>
      <c r="G111" s="306"/>
    </row>
    <row r="112" spans="2:7" x14ac:dyDescent="0.3">
      <c r="B112" s="35" t="s">
        <v>196</v>
      </c>
      <c r="C112" s="35"/>
      <c r="D112" s="306">
        <f t="shared" ref="D112:G120" si="5">((D98*$C$26)+(D84*$D$26))/($C$26+$D$26)</f>
        <v>0.39769197799808981</v>
      </c>
      <c r="E112" s="306">
        <f t="shared" si="5"/>
        <v>8.512776690845017E-2</v>
      </c>
      <c r="F112" s="306">
        <f t="shared" si="5"/>
        <v>0.25265748787228293</v>
      </c>
      <c r="G112" s="306">
        <f t="shared" si="5"/>
        <v>0.26452276722117707</v>
      </c>
    </row>
    <row r="113" spans="2:7" x14ac:dyDescent="0.3">
      <c r="B113" s="35" t="s">
        <v>197</v>
      </c>
      <c r="C113" s="35"/>
      <c r="D113" s="306">
        <f t="shared" si="5"/>
        <v>0.51666134768573579</v>
      </c>
      <c r="E113" s="306">
        <f t="shared" si="5"/>
        <v>0.11059369866547396</v>
      </c>
      <c r="F113" s="306">
        <f t="shared" si="5"/>
        <v>0.32823985750000007</v>
      </c>
      <c r="G113" s="306">
        <f t="shared" si="5"/>
        <v>4.4505096148790169E-2</v>
      </c>
    </row>
    <row r="114" spans="2:7" x14ac:dyDescent="0.3">
      <c r="B114" s="35" t="s">
        <v>198</v>
      </c>
      <c r="C114" s="35"/>
      <c r="D114" s="306">
        <f t="shared" si="5"/>
        <v>0.39769197799808981</v>
      </c>
      <c r="E114" s="306">
        <f t="shared" si="5"/>
        <v>8.512776690845017E-2</v>
      </c>
      <c r="F114" s="306">
        <f t="shared" si="5"/>
        <v>0.25265748787228293</v>
      </c>
      <c r="G114" s="306">
        <f t="shared" si="5"/>
        <v>0.26452276722117707</v>
      </c>
    </row>
    <row r="115" spans="2:7" x14ac:dyDescent="0.3">
      <c r="B115" s="35" t="s">
        <v>199</v>
      </c>
      <c r="C115" s="35"/>
      <c r="D115" s="306">
        <f t="shared" si="5"/>
        <v>0.39769197799808981</v>
      </c>
      <c r="E115" s="306">
        <f t="shared" si="5"/>
        <v>8.512776690845017E-2</v>
      </c>
      <c r="F115" s="306">
        <f t="shared" si="5"/>
        <v>0.25265748787228293</v>
      </c>
      <c r="G115" s="306">
        <f t="shared" si="5"/>
        <v>0.26452276722117707</v>
      </c>
    </row>
    <row r="116" spans="2:7" x14ac:dyDescent="0.3">
      <c r="B116" s="35" t="s">
        <v>200</v>
      </c>
      <c r="C116" s="35"/>
      <c r="D116" s="306">
        <f t="shared" si="5"/>
        <v>0.39769197799808981</v>
      </c>
      <c r="E116" s="306">
        <f t="shared" si="5"/>
        <v>8.512776690845017E-2</v>
      </c>
      <c r="F116" s="306">
        <f t="shared" si="5"/>
        <v>0.25265748787228293</v>
      </c>
      <c r="G116" s="306">
        <f t="shared" si="5"/>
        <v>0.26452276722117707</v>
      </c>
    </row>
    <row r="117" spans="2:7" x14ac:dyDescent="0.3">
      <c r="B117" s="35" t="s">
        <v>201</v>
      </c>
      <c r="C117" s="35"/>
      <c r="D117" s="306">
        <f t="shared" si="5"/>
        <v>0.39769197799808981</v>
      </c>
      <c r="E117" s="306">
        <f t="shared" si="5"/>
        <v>8.512776690845017E-2</v>
      </c>
      <c r="F117" s="306">
        <f t="shared" si="5"/>
        <v>0.25265748787228293</v>
      </c>
      <c r="G117" s="306">
        <f t="shared" si="5"/>
        <v>0.26452276722117707</v>
      </c>
    </row>
    <row r="118" spans="2:7" x14ac:dyDescent="0.3">
      <c r="B118" s="35" t="s">
        <v>202</v>
      </c>
      <c r="C118" s="35"/>
      <c r="D118" s="306">
        <f t="shared" si="5"/>
        <v>0.39769197799808981</v>
      </c>
      <c r="E118" s="306">
        <f t="shared" si="5"/>
        <v>8.512776690845017E-2</v>
      </c>
      <c r="F118" s="306">
        <f t="shared" si="5"/>
        <v>0.25265748787228293</v>
      </c>
      <c r="G118" s="306">
        <f t="shared" si="5"/>
        <v>0.26452276722117707</v>
      </c>
    </row>
    <row r="119" spans="2:7" x14ac:dyDescent="0.3">
      <c r="B119" s="35" t="s">
        <v>203</v>
      </c>
      <c r="C119" s="35"/>
      <c r="D119" s="306">
        <f t="shared" si="5"/>
        <v>0.39769197799808981</v>
      </c>
      <c r="E119" s="306">
        <f t="shared" si="5"/>
        <v>8.512776690845017E-2</v>
      </c>
      <c r="F119" s="306">
        <f t="shared" si="5"/>
        <v>0.25265748787228293</v>
      </c>
      <c r="G119" s="306">
        <f t="shared" si="5"/>
        <v>0.26452276722117707</v>
      </c>
    </row>
    <row r="120" spans="2:7" x14ac:dyDescent="0.3">
      <c r="B120" s="35" t="s">
        <v>204</v>
      </c>
      <c r="C120" s="35"/>
      <c r="D120" s="306">
        <f t="shared" si="5"/>
        <v>0.39769197799808981</v>
      </c>
      <c r="E120" s="306">
        <f t="shared" si="5"/>
        <v>8.512776690845017E-2</v>
      </c>
      <c r="F120" s="306">
        <f t="shared" si="5"/>
        <v>0.25265748787228293</v>
      </c>
      <c r="G120" s="306">
        <f t="shared" si="5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111" priority="1" operator="equal">
      <formula>"Escassez Hídrica"</formula>
    </cfRule>
    <cfRule type="cellIs" dxfId="110" priority="2" operator="equal">
      <formula>"VERDE"</formula>
    </cfRule>
    <cfRule type="cellIs" dxfId="109" priority="3" operator="equal">
      <formula>"BVM2"</formula>
    </cfRule>
    <cfRule type="cellIs" dxfId="108" priority="4" operator="equal">
      <formula>"BVM1"</formula>
    </cfRule>
    <cfRule type="cellIs" dxfId="107" priority="5" operator="equal">
      <formula>"BAM"</formula>
    </cfRule>
  </conditionalFormatting>
  <conditionalFormatting sqref="M22">
    <cfRule type="cellIs" dxfId="106" priority="11" operator="equal">
      <formula>"VERDE"</formula>
    </cfRule>
    <cfRule type="cellIs" dxfId="105" priority="12" operator="equal">
      <formula>"BVM2"</formula>
    </cfRule>
    <cfRule type="cellIs" dxfId="104" priority="13" operator="equal">
      <formula>"BVM1"</formula>
    </cfRule>
    <cfRule type="cellIs" dxfId="103" priority="14" operator="equal">
      <formula>"BAM"</formula>
    </cfRule>
  </conditionalFormatting>
  <conditionalFormatting sqref="M26">
    <cfRule type="containsText" dxfId="102" priority="6" operator="containsText" text="Escassez Hídrica">
      <formula>NOT(ISERROR(SEARCH("Escassez Hídrica",M26)))</formula>
    </cfRule>
    <cfRule type="cellIs" dxfId="101" priority="7" operator="equal">
      <formula>"VERDE"</formula>
    </cfRule>
    <cfRule type="cellIs" dxfId="100" priority="8" operator="equal">
      <formula>"BVM2"</formula>
    </cfRule>
    <cfRule type="cellIs" dxfId="99" priority="9" operator="equal">
      <formula>"BVM1"</formula>
    </cfRule>
    <cfRule type="cellIs" dxfId="98" priority="10" operator="equal">
      <formula>"BAM"</formula>
    </cfRule>
  </conditionalFormatting>
  <dataValidations disablePrompts="1" count="2">
    <dataValidation type="list" allowBlank="1" showInputMessage="1" showErrorMessage="1" sqref="I24:J24" xr:uid="{00000000-0002-0000-0F00-000000000000}">
      <formula1>$M$22:$M$26</formula1>
    </dataValidation>
    <dataValidation type="list" allowBlank="1" showInputMessage="1" showErrorMessage="1" sqref="B12" xr:uid="{00000000-0002-0000-0F00-000001000000}">
      <formula1>$B$71:$B$79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4">
    <tabColor rgb="FF92D050"/>
  </sheetPr>
  <dimension ref="A1:S118"/>
  <sheetViews>
    <sheetView topLeftCell="A77" workbookViewId="0">
      <selection activeCell="I88" sqref="I88:I90"/>
    </sheetView>
  </sheetViews>
  <sheetFormatPr defaultRowHeight="14.4" x14ac:dyDescent="0.3"/>
  <cols>
    <col min="2" max="2" width="13.5546875" bestFit="1" customWidth="1"/>
    <col min="3" max="3" width="16.21875" bestFit="1" customWidth="1"/>
    <col min="4" max="4" width="17.77734375" customWidth="1"/>
    <col min="5" max="7" width="8.77734375" customWidth="1"/>
    <col min="8" max="8" width="9.77734375" style="323" bestFit="1" customWidth="1"/>
    <col min="9" max="9" width="11" style="323" customWidth="1"/>
    <col min="11" max="11" width="12.5546875" bestFit="1" customWidth="1"/>
    <col min="12" max="12" width="10.21875" bestFit="1" customWidth="1"/>
    <col min="13" max="13" width="7.21875" bestFit="1" customWidth="1"/>
    <col min="14" max="14" width="4.5546875" bestFit="1" customWidth="1"/>
    <col min="15" max="15" width="5" bestFit="1" customWidth="1"/>
    <col min="16" max="16" width="9.5546875" bestFit="1" customWidth="1"/>
    <col min="17" max="17" width="21.21875" bestFit="1" customWidth="1"/>
  </cols>
  <sheetData>
    <row r="1" spans="2:19" hidden="1" x14ac:dyDescent="0.3"/>
    <row r="2" spans="2:19" hidden="1" x14ac:dyDescent="0.3">
      <c r="L2" s="478" t="s">
        <v>32</v>
      </c>
      <c r="M2" s="478" t="s">
        <v>33</v>
      </c>
      <c r="N2" s="478" t="s">
        <v>34</v>
      </c>
      <c r="O2" s="478" t="s">
        <v>35</v>
      </c>
    </row>
    <row r="3" spans="2:19" hidden="1" x14ac:dyDescent="0.3">
      <c r="B3" s="811" t="s">
        <v>396</v>
      </c>
      <c r="C3" s="812"/>
      <c r="D3" s="812"/>
      <c r="E3" s="812"/>
      <c r="F3" s="812"/>
      <c r="G3" s="812"/>
      <c r="H3" s="812"/>
      <c r="I3" s="812"/>
      <c r="J3" s="325"/>
      <c r="K3" s="325"/>
      <c r="L3" s="479" t="s">
        <v>37</v>
      </c>
      <c r="M3" s="480" t="s">
        <v>38</v>
      </c>
      <c r="N3" s="480" t="s">
        <v>39</v>
      </c>
      <c r="O3" s="481">
        <v>2025</v>
      </c>
      <c r="P3" s="325"/>
      <c r="Q3" s="325"/>
      <c r="R3" s="325"/>
      <c r="S3" s="325"/>
    </row>
    <row r="4" spans="2:19" hidden="1" x14ac:dyDescent="0.3">
      <c r="B4" s="818" t="s">
        <v>0</v>
      </c>
      <c r="C4" s="818" t="s">
        <v>397</v>
      </c>
      <c r="D4" s="818" t="s">
        <v>398</v>
      </c>
      <c r="E4" s="818" t="s">
        <v>3</v>
      </c>
      <c r="F4" s="818" t="s">
        <v>4</v>
      </c>
      <c r="G4" s="818"/>
      <c r="H4" s="818"/>
      <c r="I4" s="818"/>
      <c r="J4" s="325"/>
      <c r="K4" s="325"/>
      <c r="L4" s="479" t="s">
        <v>43</v>
      </c>
      <c r="M4" s="482" t="s">
        <v>44</v>
      </c>
      <c r="N4" s="482" t="s">
        <v>45</v>
      </c>
      <c r="O4" s="483">
        <v>9999</v>
      </c>
      <c r="P4" s="325"/>
      <c r="Q4" s="325"/>
      <c r="R4" s="325"/>
      <c r="S4" s="325"/>
    </row>
    <row r="5" spans="2:19" hidden="1" x14ac:dyDescent="0.3">
      <c r="B5" s="818"/>
      <c r="C5" s="818"/>
      <c r="D5" s="818"/>
      <c r="E5" s="818"/>
      <c r="F5" s="818" t="s">
        <v>6</v>
      </c>
      <c r="G5" s="818"/>
      <c r="H5" s="810" t="s">
        <v>399</v>
      </c>
      <c r="I5" s="810"/>
      <c r="J5" s="325"/>
      <c r="K5" s="325"/>
      <c r="L5" s="325"/>
      <c r="M5" s="325"/>
      <c r="N5" s="325"/>
      <c r="O5" s="325"/>
      <c r="P5" s="811"/>
      <c r="Q5" s="812"/>
      <c r="R5" s="811"/>
      <c r="S5" s="813"/>
    </row>
    <row r="6" spans="2:19" hidden="1" x14ac:dyDescent="0.3">
      <c r="B6" s="818"/>
      <c r="C6" s="818"/>
      <c r="D6" s="818"/>
      <c r="E6" s="818"/>
      <c r="F6" s="484" t="s">
        <v>8</v>
      </c>
      <c r="G6" s="484" t="s">
        <v>9</v>
      </c>
      <c r="H6" s="484" t="s">
        <v>8</v>
      </c>
      <c r="I6" s="484" t="s">
        <v>9</v>
      </c>
      <c r="J6" s="325"/>
      <c r="K6" s="325"/>
      <c r="L6" s="325"/>
      <c r="M6" s="325"/>
      <c r="N6" s="325"/>
      <c r="O6" s="325"/>
      <c r="P6" s="342"/>
      <c r="Q6" s="342"/>
      <c r="R6" s="342"/>
      <c r="S6" s="342"/>
    </row>
    <row r="7" spans="2:19" hidden="1" x14ac:dyDescent="0.3">
      <c r="B7" s="485" t="s">
        <v>400</v>
      </c>
      <c r="C7" s="485" t="s">
        <v>401</v>
      </c>
      <c r="D7" s="485" t="s">
        <v>402</v>
      </c>
      <c r="E7" s="485" t="s">
        <v>14</v>
      </c>
      <c r="F7" s="486"/>
      <c r="G7" s="486"/>
      <c r="H7" s="486"/>
      <c r="I7" s="486"/>
      <c r="J7" s="328"/>
      <c r="K7" s="328"/>
      <c r="L7" s="328"/>
      <c r="M7" s="328"/>
      <c r="N7" s="328"/>
      <c r="O7" s="328"/>
      <c r="P7" s="3"/>
      <c r="R7" s="3"/>
      <c r="S7" s="329"/>
    </row>
    <row r="8" spans="2:19" hidden="1" x14ac:dyDescent="0.3">
      <c r="B8" s="485" t="s">
        <v>400</v>
      </c>
      <c r="C8" s="485" t="s">
        <v>401</v>
      </c>
      <c r="D8" s="485" t="s">
        <v>402</v>
      </c>
      <c r="E8" s="485" t="s">
        <v>16</v>
      </c>
      <c r="F8" s="486"/>
      <c r="G8" s="486"/>
      <c r="H8" s="486"/>
      <c r="I8" s="486"/>
      <c r="J8" s="328"/>
      <c r="K8" s="328"/>
      <c r="L8" s="277" t="s">
        <v>51</v>
      </c>
      <c r="M8" s="277" t="s">
        <v>52</v>
      </c>
      <c r="N8" s="277" t="s">
        <v>35</v>
      </c>
      <c r="P8" s="277" t="s">
        <v>51</v>
      </c>
      <c r="Q8" s="277" t="s">
        <v>53</v>
      </c>
      <c r="S8" s="329"/>
    </row>
    <row r="9" spans="2:19" hidden="1" x14ac:dyDescent="0.3">
      <c r="B9" s="485" t="s">
        <v>400</v>
      </c>
      <c r="C9" s="485" t="s">
        <v>403</v>
      </c>
      <c r="D9" s="485" t="s">
        <v>402</v>
      </c>
      <c r="E9" s="485" t="s">
        <v>14</v>
      </c>
      <c r="F9" s="486"/>
      <c r="G9" s="486"/>
      <c r="H9" s="486"/>
      <c r="I9" s="486"/>
      <c r="J9" s="328"/>
      <c r="K9" s="328"/>
      <c r="L9" s="487" t="s">
        <v>55</v>
      </c>
      <c r="M9" s="488">
        <v>3541</v>
      </c>
      <c r="N9" s="489">
        <v>2025</v>
      </c>
      <c r="P9" s="333" t="s">
        <v>55</v>
      </c>
      <c r="Q9" s="334" t="s">
        <v>56</v>
      </c>
      <c r="S9" s="329"/>
    </row>
    <row r="10" spans="2:19" hidden="1" x14ac:dyDescent="0.3">
      <c r="B10" s="485" t="s">
        <v>400</v>
      </c>
      <c r="C10" s="485" t="s">
        <v>403</v>
      </c>
      <c r="D10" s="485" t="s">
        <v>402</v>
      </c>
      <c r="E10" s="485" t="s">
        <v>16</v>
      </c>
      <c r="F10" s="486"/>
      <c r="G10" s="486"/>
      <c r="H10" s="486"/>
      <c r="I10" s="486"/>
      <c r="J10" s="328"/>
      <c r="K10" s="328"/>
      <c r="L10" s="3"/>
      <c r="M10" s="3"/>
      <c r="P10" s="333" t="s">
        <v>57</v>
      </c>
      <c r="Q10" s="334" t="s">
        <v>58</v>
      </c>
      <c r="S10" s="329"/>
    </row>
    <row r="11" spans="2:19" hidden="1" x14ac:dyDescent="0.3">
      <c r="B11" s="485" t="s">
        <v>153</v>
      </c>
      <c r="C11" s="485" t="s">
        <v>401</v>
      </c>
      <c r="D11" s="485" t="s">
        <v>404</v>
      </c>
      <c r="E11" s="485" t="s">
        <v>14</v>
      </c>
      <c r="F11" s="486"/>
      <c r="G11" s="486"/>
      <c r="H11" s="490">
        <v>10.1563454725072</v>
      </c>
      <c r="I11" s="491"/>
      <c r="J11" s="328"/>
      <c r="K11" s="328"/>
      <c r="L11" s="3"/>
      <c r="M11" s="3"/>
      <c r="P11" s="333" t="s">
        <v>59</v>
      </c>
      <c r="Q11" s="334" t="s">
        <v>60</v>
      </c>
      <c r="S11" s="329"/>
    </row>
    <row r="12" spans="2:19" hidden="1" x14ac:dyDescent="0.3">
      <c r="B12" s="485" t="s">
        <v>153</v>
      </c>
      <c r="C12" s="485" t="s">
        <v>401</v>
      </c>
      <c r="D12" s="485" t="s">
        <v>404</v>
      </c>
      <c r="E12" s="485" t="s">
        <v>16</v>
      </c>
      <c r="F12" s="486"/>
      <c r="G12" s="486"/>
      <c r="H12" s="490">
        <v>1.01568842992605</v>
      </c>
      <c r="I12" s="491"/>
      <c r="J12" s="328"/>
      <c r="K12" s="328"/>
      <c r="S12" s="329"/>
    </row>
    <row r="13" spans="2:19" hidden="1" x14ac:dyDescent="0.3">
      <c r="B13" s="485" t="s">
        <v>153</v>
      </c>
      <c r="C13" s="485" t="s">
        <v>403</v>
      </c>
      <c r="D13" s="485" t="s">
        <v>404</v>
      </c>
      <c r="E13" s="485" t="s">
        <v>14</v>
      </c>
      <c r="F13" s="486"/>
      <c r="G13" s="486"/>
      <c r="H13" s="490">
        <v>10.1563454725072</v>
      </c>
      <c r="I13" s="491"/>
      <c r="J13" s="328"/>
      <c r="K13" s="328"/>
      <c r="L13" s="328"/>
      <c r="M13" s="328"/>
      <c r="N13" s="328"/>
      <c r="O13" s="328"/>
      <c r="P13" s="329"/>
      <c r="Q13" s="3"/>
      <c r="R13" s="329"/>
      <c r="S13" s="329"/>
    </row>
    <row r="14" spans="2:19" hidden="1" x14ac:dyDescent="0.3">
      <c r="B14" s="485" t="s">
        <v>153</v>
      </c>
      <c r="C14" s="485" t="s">
        <v>403</v>
      </c>
      <c r="D14" s="485" t="s">
        <v>404</v>
      </c>
      <c r="E14" s="485" t="s">
        <v>16</v>
      </c>
      <c r="F14" s="486"/>
      <c r="G14" s="486"/>
      <c r="H14" s="490">
        <v>1.01568842992605</v>
      </c>
      <c r="I14" s="491"/>
      <c r="J14" s="328"/>
      <c r="K14" s="328"/>
      <c r="L14" s="752" t="s">
        <v>205</v>
      </c>
      <c r="M14" s="752"/>
      <c r="N14" s="752"/>
      <c r="O14" s="752"/>
      <c r="P14" s="752"/>
      <c r="Q14" s="329"/>
      <c r="R14" s="3"/>
      <c r="S14" s="329"/>
    </row>
    <row r="15" spans="2:19" hidden="1" x14ac:dyDescent="0.3">
      <c r="B15" s="485" t="s">
        <v>153</v>
      </c>
      <c r="C15" s="485" t="s">
        <v>192</v>
      </c>
      <c r="D15" s="485" t="s">
        <v>405</v>
      </c>
      <c r="E15" s="485" t="s">
        <v>14</v>
      </c>
      <c r="F15" s="486"/>
      <c r="G15" s="486"/>
      <c r="H15" s="490">
        <v>10.1563454725072</v>
      </c>
      <c r="I15" s="491"/>
      <c r="J15" s="328"/>
      <c r="K15" s="328"/>
      <c r="L15" s="752"/>
      <c r="M15" s="752"/>
      <c r="N15" s="752"/>
      <c r="O15" s="752"/>
      <c r="P15" s="752"/>
      <c r="Q15" s="329"/>
      <c r="R15" s="3"/>
      <c r="S15" s="329"/>
    </row>
    <row r="16" spans="2:19" hidden="1" x14ac:dyDescent="0.3">
      <c r="B16" s="485" t="s">
        <v>153</v>
      </c>
      <c r="C16" s="485" t="s">
        <v>192</v>
      </c>
      <c r="D16" s="485" t="s">
        <v>405</v>
      </c>
      <c r="E16" s="485" t="s">
        <v>16</v>
      </c>
      <c r="F16" s="486"/>
      <c r="G16" s="486"/>
      <c r="H16" s="490">
        <v>1.01568842992605</v>
      </c>
      <c r="I16" s="491"/>
      <c r="J16" s="328"/>
      <c r="K16" s="328"/>
      <c r="L16" s="752"/>
      <c r="M16" s="752"/>
      <c r="N16" s="752"/>
      <c r="O16" s="752"/>
      <c r="P16" s="752"/>
      <c r="Q16" s="329"/>
      <c r="R16" s="3"/>
      <c r="S16" s="329"/>
    </row>
    <row r="17" spans="2:19" hidden="1" x14ac:dyDescent="0.3">
      <c r="B17" s="485" t="s">
        <v>153</v>
      </c>
      <c r="C17" s="485" t="s">
        <v>192</v>
      </c>
      <c r="D17" s="485" t="s">
        <v>405</v>
      </c>
      <c r="E17" s="485" t="s">
        <v>19</v>
      </c>
      <c r="F17" s="486"/>
      <c r="G17" s="486"/>
      <c r="H17" s="492"/>
      <c r="I17" s="491"/>
      <c r="J17" s="328"/>
      <c r="K17" s="328"/>
      <c r="L17" s="328"/>
      <c r="M17" s="328"/>
      <c r="N17" s="328"/>
      <c r="O17" s="328"/>
      <c r="P17" s="3"/>
      <c r="Q17" s="329"/>
      <c r="R17" s="3"/>
      <c r="S17" s="329"/>
    </row>
    <row r="18" spans="2:19" hidden="1" x14ac:dyDescent="0.3">
      <c r="B18" s="485" t="s">
        <v>153</v>
      </c>
      <c r="C18" s="485" t="s">
        <v>192</v>
      </c>
      <c r="D18" s="485" t="s">
        <v>406</v>
      </c>
      <c r="E18" s="485" t="s">
        <v>14</v>
      </c>
      <c r="F18" s="486"/>
      <c r="G18" s="486"/>
      <c r="H18" s="490">
        <v>10.1563454725072</v>
      </c>
      <c r="I18" s="491"/>
      <c r="J18" s="328"/>
      <c r="K18" s="328"/>
      <c r="L18" s="328"/>
      <c r="M18" s="328"/>
      <c r="N18" s="328"/>
      <c r="O18" s="328"/>
      <c r="P18" s="3"/>
      <c r="Q18" s="329"/>
      <c r="R18" s="3"/>
      <c r="S18" s="329"/>
    </row>
    <row r="19" spans="2:19" hidden="1" x14ac:dyDescent="0.3">
      <c r="B19" s="485" t="s">
        <v>153</v>
      </c>
      <c r="C19" s="485" t="s">
        <v>192</v>
      </c>
      <c r="D19" s="485" t="s">
        <v>406</v>
      </c>
      <c r="E19" s="485" t="s">
        <v>16</v>
      </c>
      <c r="F19" s="486"/>
      <c r="G19" s="486"/>
      <c r="H19" s="490">
        <v>1.01568842992605</v>
      </c>
      <c r="I19" s="491"/>
      <c r="J19" s="328"/>
      <c r="K19" s="328"/>
      <c r="L19" s="328"/>
      <c r="M19" s="328"/>
      <c r="N19" s="328"/>
      <c r="O19" s="328"/>
      <c r="P19" s="3"/>
      <c r="Q19" s="329"/>
      <c r="R19" s="3"/>
      <c r="S19" s="329"/>
    </row>
    <row r="20" spans="2:19" hidden="1" x14ac:dyDescent="0.3">
      <c r="B20" s="485" t="s">
        <v>153</v>
      </c>
      <c r="C20" s="485" t="s">
        <v>192</v>
      </c>
      <c r="D20" s="485" t="s">
        <v>406</v>
      </c>
      <c r="E20" s="485" t="s">
        <v>19</v>
      </c>
      <c r="F20" s="486"/>
      <c r="G20" s="486"/>
      <c r="H20" s="492"/>
      <c r="I20" s="491"/>
      <c r="J20" s="328"/>
      <c r="K20" s="328"/>
      <c r="L20" s="328"/>
      <c r="M20" s="328"/>
      <c r="N20" s="328"/>
      <c r="O20" s="328"/>
      <c r="P20" s="3"/>
      <c r="Q20" s="329"/>
      <c r="R20" s="3"/>
      <c r="S20" s="329"/>
    </row>
    <row r="21" spans="2:19" hidden="1" x14ac:dyDescent="0.3">
      <c r="B21" s="485" t="s">
        <v>153</v>
      </c>
      <c r="C21" s="485" t="s">
        <v>407</v>
      </c>
      <c r="D21" s="485" t="s">
        <v>408</v>
      </c>
      <c r="E21" s="485" t="s">
        <v>19</v>
      </c>
      <c r="F21" s="486"/>
      <c r="G21" s="486"/>
      <c r="H21" s="490">
        <v>2.0168505891247501</v>
      </c>
      <c r="I21" s="491"/>
      <c r="J21" s="328"/>
      <c r="K21" s="328"/>
      <c r="L21" s="328"/>
      <c r="M21" s="328"/>
      <c r="N21" s="328"/>
      <c r="O21" s="328"/>
      <c r="P21" s="3"/>
      <c r="Q21" s="329"/>
      <c r="R21" s="3"/>
      <c r="S21" s="329"/>
    </row>
    <row r="22" spans="2:19" hidden="1" x14ac:dyDescent="0.3">
      <c r="B22" s="485" t="s">
        <v>153</v>
      </c>
      <c r="C22" s="485" t="s">
        <v>407</v>
      </c>
      <c r="D22" s="485" t="s">
        <v>409</v>
      </c>
      <c r="E22" s="485" t="s">
        <v>19</v>
      </c>
      <c r="F22" s="486"/>
      <c r="G22" s="486"/>
      <c r="H22" s="490">
        <v>0.77953058281063703</v>
      </c>
      <c r="I22" s="491"/>
      <c r="J22" s="328"/>
      <c r="K22" s="328"/>
      <c r="L22" s="328"/>
      <c r="M22" s="328"/>
      <c r="N22" s="328"/>
      <c r="O22" s="328"/>
      <c r="P22" s="3"/>
      <c r="Q22" s="329"/>
      <c r="R22" s="3"/>
      <c r="S22" s="329"/>
    </row>
    <row r="23" spans="2:19" hidden="1" x14ac:dyDescent="0.3">
      <c r="B23" s="485" t="s">
        <v>153</v>
      </c>
      <c r="C23" s="485" t="s">
        <v>407</v>
      </c>
      <c r="D23" s="485" t="s">
        <v>410</v>
      </c>
      <c r="E23" s="485" t="s">
        <v>19</v>
      </c>
      <c r="F23" s="486"/>
      <c r="G23" s="486"/>
      <c r="H23" s="490">
        <v>4.9143190175701799</v>
      </c>
      <c r="I23" s="491"/>
      <c r="J23" s="328"/>
      <c r="K23" s="328"/>
      <c r="L23" s="328"/>
      <c r="M23" s="328"/>
      <c r="N23" s="328"/>
      <c r="O23" s="328"/>
      <c r="P23" s="3"/>
      <c r="Q23" s="329"/>
      <c r="R23" s="3"/>
      <c r="S23" s="329"/>
    </row>
    <row r="24" spans="2:19" hidden="1" x14ac:dyDescent="0.3">
      <c r="B24" s="485" t="s">
        <v>153</v>
      </c>
      <c r="C24" s="485" t="s">
        <v>407</v>
      </c>
      <c r="D24" s="485" t="s">
        <v>411</v>
      </c>
      <c r="E24" s="485" t="s">
        <v>19</v>
      </c>
      <c r="F24" s="486"/>
      <c r="G24" s="486"/>
      <c r="H24" s="490">
        <v>4.9143190175701799</v>
      </c>
      <c r="I24" s="491"/>
      <c r="J24" s="328"/>
      <c r="K24" s="328"/>
      <c r="L24" s="328"/>
      <c r="M24" s="328"/>
      <c r="N24" s="328"/>
      <c r="O24" s="328"/>
      <c r="P24" s="3"/>
      <c r="Q24" s="329"/>
      <c r="R24" s="3"/>
      <c r="S24" s="329"/>
    </row>
    <row r="25" spans="2:19" hidden="1" x14ac:dyDescent="0.3">
      <c r="B25" s="485" t="s">
        <v>153</v>
      </c>
      <c r="C25" s="485" t="s">
        <v>407</v>
      </c>
      <c r="D25" s="485" t="s">
        <v>412</v>
      </c>
      <c r="E25" s="485" t="s">
        <v>19</v>
      </c>
      <c r="F25" s="486"/>
      <c r="G25" s="486"/>
      <c r="H25" s="490">
        <v>2.0676938831599401</v>
      </c>
      <c r="I25" s="491"/>
      <c r="J25" s="328"/>
      <c r="K25" s="328"/>
      <c r="L25" s="328"/>
      <c r="M25" s="328"/>
      <c r="N25" s="328"/>
      <c r="O25" s="328"/>
      <c r="P25" s="3"/>
      <c r="Q25" s="329"/>
      <c r="R25" s="3"/>
      <c r="S25" s="329"/>
    </row>
    <row r="26" spans="2:19" hidden="1" x14ac:dyDescent="0.3">
      <c r="B26" s="485" t="s">
        <v>151</v>
      </c>
      <c r="C26" s="485" t="s">
        <v>401</v>
      </c>
      <c r="D26" s="485" t="s">
        <v>404</v>
      </c>
      <c r="E26" s="485" t="s">
        <v>14</v>
      </c>
      <c r="F26" s="486"/>
      <c r="G26" s="486"/>
      <c r="H26" s="490">
        <v>39.200400658314003</v>
      </c>
      <c r="I26" s="491"/>
      <c r="J26" s="328"/>
      <c r="K26" s="328"/>
      <c r="L26" s="328"/>
      <c r="M26" s="328"/>
      <c r="N26" s="328"/>
      <c r="O26" s="328"/>
      <c r="P26" s="3"/>
      <c r="Q26" s="329"/>
      <c r="R26" s="3"/>
      <c r="S26" s="329"/>
    </row>
    <row r="27" spans="2:19" hidden="1" x14ac:dyDescent="0.3">
      <c r="B27" s="485" t="s">
        <v>151</v>
      </c>
      <c r="C27" s="485" t="s">
        <v>401</v>
      </c>
      <c r="D27" s="485" t="s">
        <v>404</v>
      </c>
      <c r="E27" s="485" t="s">
        <v>16</v>
      </c>
      <c r="F27" s="486"/>
      <c r="G27" s="486"/>
      <c r="H27" s="490">
        <v>5.6559566637919003</v>
      </c>
      <c r="I27" s="491"/>
      <c r="J27" s="328"/>
      <c r="K27" s="328"/>
      <c r="L27" s="328"/>
      <c r="M27" s="328"/>
      <c r="N27" s="328"/>
      <c r="O27" s="328"/>
      <c r="P27" s="3"/>
      <c r="Q27" s="329"/>
      <c r="R27" s="3"/>
      <c r="S27" s="329"/>
    </row>
    <row r="28" spans="2:19" hidden="1" x14ac:dyDescent="0.3">
      <c r="B28" s="485" t="s">
        <v>151</v>
      </c>
      <c r="C28" s="485" t="s">
        <v>403</v>
      </c>
      <c r="D28" s="485" t="s">
        <v>404</v>
      </c>
      <c r="E28" s="485" t="s">
        <v>14</v>
      </c>
      <c r="F28" s="486"/>
      <c r="G28" s="486"/>
      <c r="H28" s="490">
        <v>39.200400658314003</v>
      </c>
      <c r="I28" s="491"/>
      <c r="J28" s="328"/>
      <c r="K28" s="328"/>
      <c r="L28" s="328"/>
      <c r="M28" s="328"/>
      <c r="N28" s="328"/>
      <c r="O28" s="328"/>
      <c r="P28" s="329"/>
      <c r="Q28" s="3"/>
      <c r="R28" s="329"/>
      <c r="S28" s="329"/>
    </row>
    <row r="29" spans="2:19" hidden="1" x14ac:dyDescent="0.3">
      <c r="B29" s="485" t="s">
        <v>151</v>
      </c>
      <c r="C29" s="485" t="s">
        <v>403</v>
      </c>
      <c r="D29" s="485" t="s">
        <v>404</v>
      </c>
      <c r="E29" s="485" t="s">
        <v>16</v>
      </c>
      <c r="F29" s="486"/>
      <c r="G29" s="486"/>
      <c r="H29" s="490">
        <v>5.6559566637919003</v>
      </c>
      <c r="I29" s="491"/>
      <c r="J29" s="328"/>
      <c r="K29" s="328"/>
      <c r="L29" s="328"/>
      <c r="M29" s="328"/>
      <c r="N29" s="328"/>
      <c r="O29" s="328"/>
      <c r="P29" s="329"/>
      <c r="Q29" s="3"/>
      <c r="R29" s="329"/>
      <c r="S29" s="329"/>
    </row>
    <row r="30" spans="2:19" hidden="1" x14ac:dyDescent="0.3">
      <c r="B30" s="485" t="s">
        <v>151</v>
      </c>
      <c r="C30" s="485" t="s">
        <v>413</v>
      </c>
      <c r="D30" s="485" t="s">
        <v>404</v>
      </c>
      <c r="E30" s="485" t="s">
        <v>19</v>
      </c>
      <c r="F30" s="486"/>
      <c r="G30" s="486"/>
      <c r="H30" s="490">
        <v>5.6559566637919003</v>
      </c>
      <c r="I30" s="491"/>
      <c r="J30" s="328"/>
      <c r="K30" s="328"/>
      <c r="L30" s="328"/>
      <c r="M30" s="328"/>
      <c r="N30" s="328"/>
      <c r="O30" s="328"/>
      <c r="P30" s="3"/>
      <c r="Q30" s="329"/>
      <c r="R30" s="3"/>
      <c r="S30" s="329"/>
    </row>
    <row r="31" spans="2:19" hidden="1" x14ac:dyDescent="0.3">
      <c r="B31" s="485" t="s">
        <v>151</v>
      </c>
      <c r="C31" s="485" t="s">
        <v>413</v>
      </c>
      <c r="D31" s="485" t="s">
        <v>404</v>
      </c>
      <c r="E31" s="485" t="s">
        <v>14</v>
      </c>
      <c r="F31" s="486"/>
      <c r="G31" s="486"/>
      <c r="H31" s="492"/>
      <c r="I31" s="490">
        <v>942.771484008215</v>
      </c>
      <c r="J31" s="328"/>
      <c r="K31" s="328"/>
      <c r="L31" s="328"/>
      <c r="M31" s="328"/>
      <c r="N31" s="328"/>
      <c r="O31" s="328"/>
      <c r="P31" s="3"/>
      <c r="Q31" s="329"/>
      <c r="R31" s="3"/>
      <c r="S31" s="329"/>
    </row>
    <row r="32" spans="2:19" hidden="1" x14ac:dyDescent="0.3">
      <c r="B32" s="485" t="s">
        <v>151</v>
      </c>
      <c r="C32" s="485" t="s">
        <v>413</v>
      </c>
      <c r="D32" s="485" t="s">
        <v>404</v>
      </c>
      <c r="E32" s="485" t="s">
        <v>16</v>
      </c>
      <c r="F32" s="486"/>
      <c r="G32" s="486"/>
      <c r="H32" s="492"/>
      <c r="I32" s="492"/>
      <c r="J32" s="328"/>
      <c r="K32" s="328"/>
      <c r="L32" s="328"/>
      <c r="M32" s="328"/>
      <c r="N32" s="328"/>
      <c r="O32" s="328"/>
      <c r="P32" s="329"/>
      <c r="Q32" s="3"/>
      <c r="R32" s="329"/>
      <c r="S32" s="329"/>
    </row>
    <row r="33" spans="2:19" hidden="1" x14ac:dyDescent="0.3">
      <c r="B33" s="485" t="s">
        <v>151</v>
      </c>
      <c r="C33" s="485" t="s">
        <v>414</v>
      </c>
      <c r="D33" s="485" t="s">
        <v>404</v>
      </c>
      <c r="E33" s="485" t="s">
        <v>19</v>
      </c>
      <c r="F33" s="486"/>
      <c r="G33" s="486"/>
      <c r="H33" s="490">
        <v>5.6559566637919003</v>
      </c>
      <c r="I33" s="492"/>
      <c r="J33" s="328"/>
      <c r="K33" s="335"/>
      <c r="L33" s="328"/>
      <c r="M33" s="328"/>
      <c r="N33" s="328"/>
      <c r="O33" s="328"/>
      <c r="P33" s="3"/>
      <c r="Q33" s="329"/>
      <c r="R33" s="3"/>
      <c r="S33" s="329"/>
    </row>
    <row r="34" spans="2:19" hidden="1" x14ac:dyDescent="0.3">
      <c r="B34" s="485" t="s">
        <v>151</v>
      </c>
      <c r="C34" s="485" t="s">
        <v>414</v>
      </c>
      <c r="D34" s="485" t="s">
        <v>404</v>
      </c>
      <c r="E34" s="485" t="s">
        <v>14</v>
      </c>
      <c r="F34" s="486"/>
      <c r="G34" s="486"/>
      <c r="H34" s="492"/>
      <c r="I34" s="490">
        <v>942.771484008215</v>
      </c>
      <c r="J34" s="328"/>
      <c r="K34" s="328"/>
      <c r="L34" s="328"/>
      <c r="M34" s="328"/>
      <c r="N34" s="328"/>
      <c r="O34" s="328"/>
      <c r="P34" s="3"/>
      <c r="Q34" s="329"/>
      <c r="R34" s="3"/>
      <c r="S34" s="329"/>
    </row>
    <row r="35" spans="2:19" hidden="1" x14ac:dyDescent="0.3">
      <c r="B35" s="485" t="s">
        <v>151</v>
      </c>
      <c r="C35" s="485" t="s">
        <v>414</v>
      </c>
      <c r="D35" s="485" t="s">
        <v>404</v>
      </c>
      <c r="E35" s="485" t="s">
        <v>16</v>
      </c>
      <c r="F35" s="486"/>
      <c r="G35" s="486"/>
      <c r="H35" s="492"/>
      <c r="I35" s="492"/>
      <c r="J35" s="328"/>
      <c r="K35" s="328"/>
      <c r="L35" s="328"/>
      <c r="M35" s="328"/>
      <c r="N35" s="328"/>
      <c r="O35" s="328"/>
      <c r="P35" s="3"/>
      <c r="Q35" s="329"/>
      <c r="R35" s="3"/>
      <c r="S35" s="329"/>
    </row>
    <row r="36" spans="2:19" hidden="1" x14ac:dyDescent="0.3">
      <c r="B36" s="485" t="s">
        <v>151</v>
      </c>
      <c r="C36" s="485" t="s">
        <v>192</v>
      </c>
      <c r="D36" s="485" t="s">
        <v>405</v>
      </c>
      <c r="E36" s="485" t="s">
        <v>14</v>
      </c>
      <c r="F36" s="486"/>
      <c r="G36" s="486"/>
      <c r="H36" s="490">
        <v>21.590572473084698</v>
      </c>
      <c r="I36" s="492"/>
      <c r="J36" s="328"/>
      <c r="K36" s="328"/>
      <c r="L36" s="328"/>
      <c r="M36" s="328"/>
      <c r="N36" s="328"/>
      <c r="O36" s="328"/>
      <c r="P36" s="329"/>
      <c r="Q36" s="3"/>
      <c r="R36" s="329"/>
      <c r="S36" s="329"/>
    </row>
    <row r="37" spans="2:19" hidden="1" x14ac:dyDescent="0.3">
      <c r="B37" s="485" t="s">
        <v>151</v>
      </c>
      <c r="C37" s="485" t="s">
        <v>192</v>
      </c>
      <c r="D37" s="485" t="s">
        <v>405</v>
      </c>
      <c r="E37" s="485" t="s">
        <v>16</v>
      </c>
      <c r="F37" s="486"/>
      <c r="G37" s="486"/>
      <c r="H37" s="490">
        <v>3.1151729913922801</v>
      </c>
      <c r="I37" s="492"/>
      <c r="J37" s="328"/>
      <c r="K37" s="328"/>
      <c r="L37" s="328"/>
      <c r="M37" s="328"/>
      <c r="N37" s="328"/>
      <c r="O37" s="328"/>
      <c r="P37" s="329"/>
      <c r="Q37" s="3"/>
      <c r="R37" s="329"/>
      <c r="S37" s="329"/>
    </row>
    <row r="38" spans="2:19" hidden="1" x14ac:dyDescent="0.3">
      <c r="B38" s="485" t="s">
        <v>151</v>
      </c>
      <c r="C38" s="485" t="s">
        <v>192</v>
      </c>
      <c r="D38" s="485" t="s">
        <v>405</v>
      </c>
      <c r="E38" s="485" t="s">
        <v>19</v>
      </c>
      <c r="F38" s="486"/>
      <c r="G38" s="486"/>
      <c r="H38" s="492"/>
      <c r="I38" s="492"/>
      <c r="J38" s="328"/>
      <c r="K38" s="335"/>
      <c r="L38" s="335"/>
      <c r="M38" s="335"/>
      <c r="N38" s="328"/>
      <c r="O38" s="328"/>
      <c r="P38" s="3"/>
      <c r="R38" s="3"/>
      <c r="S38" s="329"/>
    </row>
    <row r="39" spans="2:19" hidden="1" x14ac:dyDescent="0.3">
      <c r="B39" s="485" t="s">
        <v>151</v>
      </c>
      <c r="C39" s="485" t="s">
        <v>407</v>
      </c>
      <c r="D39" s="485" t="s">
        <v>404</v>
      </c>
      <c r="E39" s="485" t="s">
        <v>19</v>
      </c>
      <c r="F39" s="486"/>
      <c r="G39" s="486"/>
      <c r="H39" s="490">
        <v>4.0476665706124502</v>
      </c>
      <c r="I39" s="492"/>
      <c r="J39" s="328"/>
      <c r="K39" s="328"/>
      <c r="L39" s="328"/>
      <c r="M39" s="328"/>
      <c r="N39" s="328"/>
      <c r="O39" s="328"/>
      <c r="P39" s="3"/>
      <c r="R39" s="3"/>
      <c r="S39" s="329"/>
    </row>
    <row r="40" spans="2:19" hidden="1" x14ac:dyDescent="0.3">
      <c r="B40" s="485" t="s">
        <v>150</v>
      </c>
      <c r="C40" s="485" t="s">
        <v>401</v>
      </c>
      <c r="D40" s="485" t="s">
        <v>404</v>
      </c>
      <c r="E40" s="485" t="s">
        <v>14</v>
      </c>
      <c r="F40" s="486"/>
      <c r="G40" s="486"/>
      <c r="H40" s="490">
        <v>39.200400658314003</v>
      </c>
      <c r="I40" s="492"/>
      <c r="J40" s="328"/>
      <c r="K40" s="328"/>
      <c r="L40" s="328"/>
      <c r="M40" s="328"/>
      <c r="N40" s="328"/>
      <c r="O40" s="328"/>
      <c r="P40" s="329"/>
      <c r="Q40" s="3"/>
      <c r="R40" s="329"/>
      <c r="S40" s="3"/>
    </row>
    <row r="41" spans="2:19" hidden="1" x14ac:dyDescent="0.3">
      <c r="B41" s="485" t="s">
        <v>150</v>
      </c>
      <c r="C41" s="485" t="s">
        <v>401</v>
      </c>
      <c r="D41" s="485" t="s">
        <v>404</v>
      </c>
      <c r="E41" s="485" t="s">
        <v>16</v>
      </c>
      <c r="F41" s="486"/>
      <c r="G41" s="486"/>
      <c r="H41" s="490">
        <v>5.6559566637919003</v>
      </c>
      <c r="I41" s="492"/>
      <c r="J41" s="328"/>
      <c r="K41" s="328"/>
      <c r="L41" s="328"/>
      <c r="M41" s="328"/>
      <c r="N41" s="328"/>
      <c r="O41" s="328"/>
      <c r="P41" s="329"/>
      <c r="Q41" s="3"/>
      <c r="R41" s="329"/>
      <c r="S41" s="329"/>
    </row>
    <row r="42" spans="2:19" hidden="1" x14ac:dyDescent="0.3">
      <c r="B42" s="485" t="s">
        <v>150</v>
      </c>
      <c r="C42" s="485" t="s">
        <v>403</v>
      </c>
      <c r="D42" s="485" t="s">
        <v>404</v>
      </c>
      <c r="E42" s="485" t="s">
        <v>14</v>
      </c>
      <c r="F42" s="486"/>
      <c r="G42" s="486"/>
      <c r="H42" s="490">
        <v>39.200400658314003</v>
      </c>
      <c r="I42" s="492"/>
      <c r="J42" s="328"/>
      <c r="K42" s="328"/>
      <c r="L42" s="328"/>
      <c r="M42" s="328"/>
      <c r="N42" s="328"/>
      <c r="O42" s="328"/>
      <c r="P42" s="329"/>
      <c r="Q42" s="3"/>
      <c r="R42" s="329"/>
      <c r="S42" s="3"/>
    </row>
    <row r="43" spans="2:19" hidden="1" x14ac:dyDescent="0.3">
      <c r="B43" s="485" t="s">
        <v>150</v>
      </c>
      <c r="C43" s="485" t="s">
        <v>403</v>
      </c>
      <c r="D43" s="485" t="s">
        <v>404</v>
      </c>
      <c r="E43" s="485" t="s">
        <v>16</v>
      </c>
      <c r="F43" s="486"/>
      <c r="G43" s="486"/>
      <c r="H43" s="490">
        <v>5.6559566637919003</v>
      </c>
      <c r="I43" s="492"/>
      <c r="J43" s="328"/>
      <c r="K43" s="328"/>
      <c r="L43" s="328"/>
      <c r="M43" s="328"/>
      <c r="N43" s="328"/>
      <c r="O43" s="328"/>
      <c r="P43" s="329"/>
      <c r="Q43" s="3"/>
      <c r="R43" s="329"/>
      <c r="S43" s="329"/>
    </row>
    <row r="44" spans="2:19" hidden="1" x14ac:dyDescent="0.3">
      <c r="B44" s="485" t="s">
        <v>150</v>
      </c>
      <c r="C44" s="485" t="s">
        <v>413</v>
      </c>
      <c r="D44" s="485" t="s">
        <v>404</v>
      </c>
      <c r="E44" s="485" t="s">
        <v>19</v>
      </c>
      <c r="F44" s="486"/>
      <c r="G44" s="486"/>
      <c r="H44" s="490">
        <v>5.6559566637919003</v>
      </c>
      <c r="I44" s="492"/>
      <c r="J44" s="328"/>
      <c r="K44" s="328"/>
      <c r="L44" s="328"/>
      <c r="M44" s="328"/>
      <c r="N44" s="328"/>
      <c r="O44" s="328"/>
      <c r="P44" s="3"/>
      <c r="Q44" s="329"/>
      <c r="R44" s="3"/>
      <c r="S44" s="329"/>
    </row>
    <row r="45" spans="2:19" hidden="1" x14ac:dyDescent="0.3">
      <c r="B45" s="485" t="s">
        <v>150</v>
      </c>
      <c r="C45" s="485" t="s">
        <v>413</v>
      </c>
      <c r="D45" s="485" t="s">
        <v>404</v>
      </c>
      <c r="E45" s="485" t="s">
        <v>14</v>
      </c>
      <c r="F45" s="486"/>
      <c r="G45" s="486"/>
      <c r="H45" s="492"/>
      <c r="I45" s="490">
        <v>942.771484008215</v>
      </c>
      <c r="J45" s="328"/>
      <c r="K45" s="328"/>
      <c r="L45" s="328"/>
      <c r="M45" s="328"/>
      <c r="N45" s="328"/>
      <c r="O45" s="328"/>
      <c r="P45" s="3"/>
      <c r="Q45" s="329"/>
      <c r="R45" s="3"/>
      <c r="S45" s="329"/>
    </row>
    <row r="46" spans="2:19" hidden="1" x14ac:dyDescent="0.3">
      <c r="B46" s="485" t="s">
        <v>150</v>
      </c>
      <c r="C46" s="485" t="s">
        <v>413</v>
      </c>
      <c r="D46" s="485" t="s">
        <v>404</v>
      </c>
      <c r="E46" s="485" t="s">
        <v>16</v>
      </c>
      <c r="F46" s="486"/>
      <c r="G46" s="486"/>
      <c r="H46" s="492"/>
      <c r="I46" s="492">
        <v>0</v>
      </c>
      <c r="J46" s="328"/>
      <c r="K46" s="328"/>
      <c r="L46" s="328"/>
      <c r="M46" s="328"/>
      <c r="N46" s="328"/>
      <c r="O46" s="328"/>
      <c r="P46" s="329"/>
      <c r="Q46" s="3"/>
      <c r="R46" s="329"/>
      <c r="S46" s="329"/>
    </row>
    <row r="47" spans="2:19" hidden="1" x14ac:dyDescent="0.3">
      <c r="B47" s="485" t="s">
        <v>150</v>
      </c>
      <c r="C47" s="485" t="s">
        <v>414</v>
      </c>
      <c r="D47" s="485" t="s">
        <v>404</v>
      </c>
      <c r="E47" s="485" t="s">
        <v>19</v>
      </c>
      <c r="F47" s="486"/>
      <c r="G47" s="486"/>
      <c r="H47" s="490">
        <v>5.6559566637919003</v>
      </c>
      <c r="I47" s="492"/>
      <c r="J47" s="328"/>
      <c r="K47" s="328"/>
      <c r="L47" s="328"/>
      <c r="M47" s="328"/>
      <c r="N47" s="328"/>
      <c r="O47" s="328"/>
      <c r="P47" s="329"/>
      <c r="Q47" s="3"/>
      <c r="R47" s="329"/>
      <c r="S47" s="329"/>
    </row>
    <row r="48" spans="2:19" hidden="1" x14ac:dyDescent="0.3">
      <c r="B48" s="485" t="s">
        <v>150</v>
      </c>
      <c r="C48" s="485" t="s">
        <v>414</v>
      </c>
      <c r="D48" s="485" t="s">
        <v>404</v>
      </c>
      <c r="E48" s="485" t="s">
        <v>14</v>
      </c>
      <c r="F48" s="486"/>
      <c r="G48" s="486"/>
      <c r="H48" s="492"/>
      <c r="I48" s="490">
        <v>942.771484008215</v>
      </c>
      <c r="J48" s="328"/>
      <c r="K48" s="328"/>
      <c r="L48" s="328"/>
      <c r="M48" s="328"/>
      <c r="N48" s="328"/>
      <c r="O48" s="328"/>
      <c r="P48" s="3"/>
      <c r="Q48" s="329"/>
      <c r="R48" s="3"/>
      <c r="S48" s="329"/>
    </row>
    <row r="49" spans="1:19" hidden="1" x14ac:dyDescent="0.3">
      <c r="B49" s="485" t="s">
        <v>150</v>
      </c>
      <c r="C49" s="485" t="s">
        <v>414</v>
      </c>
      <c r="D49" s="485" t="s">
        <v>404</v>
      </c>
      <c r="E49" s="485" t="s">
        <v>16</v>
      </c>
      <c r="F49" s="486"/>
      <c r="G49" s="486"/>
      <c r="H49" s="492"/>
      <c r="I49" s="492">
        <v>0</v>
      </c>
      <c r="J49" s="328"/>
      <c r="K49" s="328"/>
      <c r="L49" s="328"/>
      <c r="M49" s="328"/>
      <c r="N49" s="328"/>
      <c r="O49" s="328"/>
      <c r="P49" s="3"/>
      <c r="Q49" s="329"/>
      <c r="R49" s="3"/>
      <c r="S49" s="329"/>
    </row>
    <row r="50" spans="1:19" hidden="1" x14ac:dyDescent="0.3">
      <c r="B50" s="485" t="s">
        <v>150</v>
      </c>
      <c r="C50" s="485" t="s">
        <v>192</v>
      </c>
      <c r="D50" s="485" t="s">
        <v>415</v>
      </c>
      <c r="E50" s="485" t="s">
        <v>14</v>
      </c>
      <c r="F50" s="486"/>
      <c r="G50" s="486"/>
      <c r="H50" s="490">
        <v>21.590572473084698</v>
      </c>
      <c r="I50" s="492"/>
      <c r="J50" s="328"/>
      <c r="K50" s="328"/>
      <c r="L50" s="328"/>
      <c r="M50" s="328"/>
      <c r="N50" s="328"/>
      <c r="O50" s="328"/>
      <c r="P50" s="3"/>
      <c r="Q50" s="329"/>
      <c r="R50" s="3"/>
      <c r="S50" s="329"/>
    </row>
    <row r="51" spans="1:19" hidden="1" x14ac:dyDescent="0.3">
      <c r="B51" s="485" t="s">
        <v>150</v>
      </c>
      <c r="C51" s="485" t="s">
        <v>192</v>
      </c>
      <c r="D51" s="485" t="s">
        <v>415</v>
      </c>
      <c r="E51" s="485" t="s">
        <v>16</v>
      </c>
      <c r="F51" s="486"/>
      <c r="G51" s="486"/>
      <c r="H51" s="490">
        <v>3.1151729913922801</v>
      </c>
      <c r="I51" s="492"/>
      <c r="J51" s="328"/>
      <c r="K51" s="328"/>
      <c r="L51" s="328"/>
      <c r="M51" s="328"/>
      <c r="N51" s="328"/>
      <c r="O51" s="328"/>
      <c r="P51" s="3"/>
      <c r="Q51" s="329"/>
      <c r="R51" s="3"/>
      <c r="S51" s="329"/>
    </row>
    <row r="52" spans="1:19" hidden="1" x14ac:dyDescent="0.3">
      <c r="B52" s="485" t="s">
        <v>150</v>
      </c>
      <c r="C52" s="485" t="s">
        <v>192</v>
      </c>
      <c r="D52" s="485" t="s">
        <v>416</v>
      </c>
      <c r="E52" s="485" t="s">
        <v>14</v>
      </c>
      <c r="F52" s="486"/>
      <c r="G52" s="486"/>
      <c r="H52" s="490">
        <v>21.590572473084698</v>
      </c>
      <c r="I52" s="492"/>
      <c r="J52" s="328"/>
      <c r="K52" s="328"/>
      <c r="L52" s="328"/>
      <c r="M52" s="328"/>
      <c r="N52" s="328"/>
      <c r="O52" s="328"/>
      <c r="P52" s="3"/>
      <c r="Q52" s="329"/>
      <c r="R52" s="3"/>
      <c r="S52" s="329"/>
    </row>
    <row r="53" spans="1:19" hidden="1" x14ac:dyDescent="0.3">
      <c r="B53" s="485" t="s">
        <v>150</v>
      </c>
      <c r="C53" s="485" t="s">
        <v>192</v>
      </c>
      <c r="D53" s="485" t="s">
        <v>416</v>
      </c>
      <c r="E53" s="485" t="s">
        <v>16</v>
      </c>
      <c r="F53" s="486"/>
      <c r="G53" s="486"/>
      <c r="H53" s="490">
        <v>3.1151729913922801</v>
      </c>
      <c r="I53" s="492"/>
      <c r="J53" s="328"/>
      <c r="K53" s="328"/>
      <c r="L53" s="328"/>
      <c r="M53" s="328"/>
      <c r="N53" s="328"/>
      <c r="O53" s="328"/>
      <c r="P53" s="3"/>
      <c r="Q53" s="329"/>
      <c r="R53" s="3"/>
      <c r="S53" s="329"/>
    </row>
    <row r="54" spans="1:19" hidden="1" x14ac:dyDescent="0.3">
      <c r="B54" s="485" t="s">
        <v>150</v>
      </c>
      <c r="C54" s="485" t="s">
        <v>407</v>
      </c>
      <c r="D54" s="485" t="s">
        <v>404</v>
      </c>
      <c r="E54" s="485" t="s">
        <v>19</v>
      </c>
      <c r="F54" s="486"/>
      <c r="G54" s="486"/>
      <c r="H54" s="490">
        <v>4.0476665706124502</v>
      </c>
      <c r="I54" s="491"/>
      <c r="J54" s="328"/>
      <c r="K54" s="328"/>
      <c r="L54" s="328"/>
      <c r="M54" s="328"/>
      <c r="N54" s="328"/>
      <c r="O54" s="328"/>
      <c r="P54" s="329"/>
      <c r="Q54" s="3"/>
      <c r="R54" s="329"/>
      <c r="S54" s="329"/>
    </row>
    <row r="55" spans="1:19" hidden="1" x14ac:dyDescent="0.3"/>
    <row r="56" spans="1:19" hidden="1" x14ac:dyDescent="0.3"/>
    <row r="57" spans="1:19" hidden="1" x14ac:dyDescent="0.3"/>
    <row r="58" spans="1:19" x14ac:dyDescent="0.3">
      <c r="B58" s="811" t="s">
        <v>417</v>
      </c>
      <c r="C58" s="812"/>
      <c r="D58" s="812"/>
      <c r="E58" s="812"/>
      <c r="F58" s="812"/>
      <c r="G58" s="812"/>
      <c r="H58" s="812"/>
      <c r="I58" s="812"/>
    </row>
    <row r="59" spans="1:19" x14ac:dyDescent="0.3">
      <c r="A59" s="814" t="s">
        <v>0</v>
      </c>
      <c r="B59" s="814" t="s">
        <v>1</v>
      </c>
      <c r="C59" s="814" t="s">
        <v>2</v>
      </c>
      <c r="D59" s="814" t="s">
        <v>80</v>
      </c>
      <c r="E59" s="814" t="s">
        <v>3</v>
      </c>
      <c r="F59" s="817" t="s">
        <v>418</v>
      </c>
      <c r="G59" s="817"/>
      <c r="H59" s="817"/>
      <c r="I59" s="420">
        <v>2025</v>
      </c>
      <c r="J59" s="325"/>
    </row>
    <row r="60" spans="1:19" x14ac:dyDescent="0.3">
      <c r="A60" s="815"/>
      <c r="B60" s="815"/>
      <c r="C60" s="815"/>
      <c r="D60" s="815"/>
      <c r="E60" s="815"/>
      <c r="F60" s="810" t="s">
        <v>6</v>
      </c>
      <c r="G60" s="810"/>
      <c r="H60" s="484" t="s">
        <v>331</v>
      </c>
      <c r="I60" s="493" t="s">
        <v>331</v>
      </c>
      <c r="J60" s="37"/>
    </row>
    <row r="61" spans="1:19" x14ac:dyDescent="0.3">
      <c r="A61" s="816"/>
      <c r="B61" s="816"/>
      <c r="C61" s="816"/>
      <c r="D61" s="816"/>
      <c r="E61" s="816"/>
      <c r="F61" s="484" t="s">
        <v>8</v>
      </c>
      <c r="G61" s="484" t="s">
        <v>9</v>
      </c>
      <c r="H61" s="484" t="s">
        <v>9</v>
      </c>
      <c r="I61" s="438"/>
      <c r="J61" s="336"/>
    </row>
    <row r="62" spans="1:19" x14ac:dyDescent="0.3">
      <c r="A62" s="806" t="s">
        <v>11</v>
      </c>
      <c r="B62" s="806" t="s">
        <v>22</v>
      </c>
      <c r="C62" s="806" t="s">
        <v>18</v>
      </c>
      <c r="D62" s="806" t="s">
        <v>18</v>
      </c>
      <c r="E62" s="485" t="s">
        <v>14</v>
      </c>
      <c r="F62" s="494"/>
      <c r="G62" s="494"/>
      <c r="H62" s="494">
        <v>516.79067884372398</v>
      </c>
      <c r="I62" s="495">
        <f>H62/1000</f>
        <v>0.51679067884372398</v>
      </c>
      <c r="J62" s="337"/>
    </row>
    <row r="63" spans="1:19" x14ac:dyDescent="0.3">
      <c r="A63" s="809"/>
      <c r="B63" s="809"/>
      <c r="C63" s="809"/>
      <c r="D63" s="809"/>
      <c r="E63" s="485" t="s">
        <v>15</v>
      </c>
      <c r="F63" s="494"/>
      <c r="G63" s="494"/>
      <c r="H63" s="494">
        <v>310.07442885930499</v>
      </c>
      <c r="I63" s="495">
        <f t="shared" ref="I63:I96" si="0">H63/1000</f>
        <v>0.31007442885930497</v>
      </c>
      <c r="J63" s="337"/>
    </row>
    <row r="64" spans="1:19" x14ac:dyDescent="0.3">
      <c r="A64" s="809"/>
      <c r="B64" s="807"/>
      <c r="C64" s="807"/>
      <c r="D64" s="807"/>
      <c r="E64" s="485" t="s">
        <v>16</v>
      </c>
      <c r="F64" s="494"/>
      <c r="G64" s="494"/>
      <c r="H64" s="494">
        <v>103.358178874885</v>
      </c>
      <c r="I64" s="495">
        <f t="shared" si="0"/>
        <v>0.10335817887488499</v>
      </c>
      <c r="J64" s="337"/>
    </row>
    <row r="65" spans="1:10" hidden="1" x14ac:dyDescent="0.3">
      <c r="A65" s="809"/>
      <c r="B65" s="485" t="s">
        <v>419</v>
      </c>
      <c r="C65" s="485" t="s">
        <v>18</v>
      </c>
      <c r="D65" s="485" t="s">
        <v>18</v>
      </c>
      <c r="E65" s="485" t="s">
        <v>19</v>
      </c>
      <c r="F65" s="494"/>
      <c r="G65" s="494"/>
      <c r="H65" s="494">
        <v>198.76564570912501</v>
      </c>
      <c r="I65" s="495">
        <f t="shared" si="0"/>
        <v>0.198765645709125</v>
      </c>
      <c r="J65" s="337"/>
    </row>
    <row r="66" spans="1:10" x14ac:dyDescent="0.3">
      <c r="A66" s="809"/>
      <c r="B66" s="485" t="s">
        <v>17</v>
      </c>
      <c r="C66" s="485" t="s">
        <v>18</v>
      </c>
      <c r="D66" s="485" t="s">
        <v>18</v>
      </c>
      <c r="E66" s="485" t="s">
        <v>19</v>
      </c>
      <c r="F66" s="494"/>
      <c r="G66" s="494"/>
      <c r="H66" s="494">
        <v>198.76564570912501</v>
      </c>
      <c r="I66" s="495">
        <f t="shared" si="0"/>
        <v>0.198765645709125</v>
      </c>
      <c r="J66" s="337"/>
    </row>
    <row r="67" spans="1:10" hidden="1" x14ac:dyDescent="0.3">
      <c r="A67" s="809"/>
      <c r="B67" s="485" t="s">
        <v>419</v>
      </c>
      <c r="C67" s="485" t="s">
        <v>18</v>
      </c>
      <c r="D67" s="485" t="s">
        <v>20</v>
      </c>
      <c r="E67" s="485" t="s">
        <v>19</v>
      </c>
      <c r="F67" s="494"/>
      <c r="G67" s="494"/>
      <c r="H67" s="494">
        <v>198.76564570912501</v>
      </c>
      <c r="I67" s="495">
        <f t="shared" si="0"/>
        <v>0.198765645709125</v>
      </c>
      <c r="J67" s="337"/>
    </row>
    <row r="68" spans="1:10" x14ac:dyDescent="0.3">
      <c r="A68" s="809"/>
      <c r="B68" s="485" t="s">
        <v>17</v>
      </c>
      <c r="C68" s="485" t="s">
        <v>18</v>
      </c>
      <c r="D68" s="485" t="s">
        <v>20</v>
      </c>
      <c r="E68" s="485" t="s">
        <v>19</v>
      </c>
      <c r="F68" s="494"/>
      <c r="G68" s="494"/>
      <c r="H68" s="494">
        <v>198.76564570912501</v>
      </c>
      <c r="I68" s="495">
        <f t="shared" si="0"/>
        <v>0.198765645709125</v>
      </c>
      <c r="J68" s="337"/>
    </row>
    <row r="69" spans="1:10" hidden="1" x14ac:dyDescent="0.3">
      <c r="A69" s="809"/>
      <c r="B69" s="496" t="s">
        <v>419</v>
      </c>
      <c r="C69" s="496" t="s">
        <v>18</v>
      </c>
      <c r="D69" s="338" t="s">
        <v>420</v>
      </c>
      <c r="E69" s="496" t="s">
        <v>19</v>
      </c>
      <c r="F69" s="494"/>
      <c r="G69" s="494"/>
      <c r="H69" s="494">
        <v>198.76564570912501</v>
      </c>
      <c r="I69" s="495">
        <f t="shared" si="0"/>
        <v>0.198765645709125</v>
      </c>
      <c r="J69" s="337"/>
    </row>
    <row r="70" spans="1:10" hidden="1" x14ac:dyDescent="0.3">
      <c r="A70" s="809"/>
      <c r="B70" s="496" t="s">
        <v>17</v>
      </c>
      <c r="C70" s="496" t="s">
        <v>18</v>
      </c>
      <c r="D70" s="338" t="s">
        <v>420</v>
      </c>
      <c r="E70" s="496" t="s">
        <v>19</v>
      </c>
      <c r="F70" s="494"/>
      <c r="G70" s="494"/>
      <c r="H70" s="494">
        <v>198.76564570912501</v>
      </c>
      <c r="I70" s="495">
        <f t="shared" si="0"/>
        <v>0.198765645709125</v>
      </c>
      <c r="J70" s="337"/>
    </row>
    <row r="71" spans="1:10" hidden="1" x14ac:dyDescent="0.3">
      <c r="A71" s="809"/>
      <c r="B71" s="496" t="s">
        <v>419</v>
      </c>
      <c r="C71" s="496" t="s">
        <v>18</v>
      </c>
      <c r="D71" s="338" t="s">
        <v>421</v>
      </c>
      <c r="E71" s="496" t="s">
        <v>19</v>
      </c>
      <c r="F71" s="494"/>
      <c r="G71" s="494"/>
      <c r="H71" s="494">
        <v>198.76564570912501</v>
      </c>
      <c r="I71" s="495">
        <f t="shared" si="0"/>
        <v>0.198765645709125</v>
      </c>
      <c r="J71" s="337"/>
    </row>
    <row r="72" spans="1:10" hidden="1" x14ac:dyDescent="0.3">
      <c r="A72" s="807"/>
      <c r="B72" s="496" t="s">
        <v>17</v>
      </c>
      <c r="C72" s="496" t="s">
        <v>18</v>
      </c>
      <c r="D72" s="338" t="s">
        <v>421</v>
      </c>
      <c r="E72" s="496" t="s">
        <v>19</v>
      </c>
      <c r="F72" s="494"/>
      <c r="G72" s="494"/>
      <c r="H72" s="494">
        <v>198.76564570912501</v>
      </c>
      <c r="I72" s="495">
        <f t="shared" si="0"/>
        <v>0.198765645709125</v>
      </c>
      <c r="J72" s="337"/>
    </row>
    <row r="73" spans="1:10" x14ac:dyDescent="0.3">
      <c r="A73" s="806" t="s">
        <v>21</v>
      </c>
      <c r="B73" s="806" t="s">
        <v>22</v>
      </c>
      <c r="C73" s="806" t="s">
        <v>23</v>
      </c>
      <c r="D73" s="806" t="s">
        <v>422</v>
      </c>
      <c r="E73" s="485" t="s">
        <v>14</v>
      </c>
      <c r="F73" s="494"/>
      <c r="G73" s="494"/>
      <c r="H73" s="494">
        <v>616.17350169828603</v>
      </c>
      <c r="I73" s="495">
        <f t="shared" si="0"/>
        <v>0.616173501698286</v>
      </c>
      <c r="J73" s="337"/>
    </row>
    <row r="74" spans="1:10" x14ac:dyDescent="0.3">
      <c r="A74" s="809"/>
      <c r="B74" s="809"/>
      <c r="C74" s="809"/>
      <c r="D74" s="809"/>
      <c r="E74" s="485" t="s">
        <v>15</v>
      </c>
      <c r="F74" s="494"/>
      <c r="G74" s="494"/>
      <c r="H74" s="494">
        <v>369.70412257204202</v>
      </c>
      <c r="I74" s="495">
        <f t="shared" si="0"/>
        <v>0.36970412257204205</v>
      </c>
      <c r="J74" s="337"/>
    </row>
    <row r="75" spans="1:10" x14ac:dyDescent="0.3">
      <c r="A75" s="809"/>
      <c r="B75" s="807"/>
      <c r="C75" s="807"/>
      <c r="D75" s="807"/>
      <c r="E75" s="485" t="s">
        <v>16</v>
      </c>
      <c r="F75" s="494"/>
      <c r="G75" s="494"/>
      <c r="H75" s="494">
        <v>123.234743445798</v>
      </c>
      <c r="I75" s="495">
        <f t="shared" si="0"/>
        <v>0.123234743445798</v>
      </c>
      <c r="J75" s="337"/>
    </row>
    <row r="76" spans="1:10" hidden="1" x14ac:dyDescent="0.3">
      <c r="A76" s="809"/>
      <c r="B76" s="485" t="s">
        <v>419</v>
      </c>
      <c r="C76" s="485" t="s">
        <v>23</v>
      </c>
      <c r="D76" s="485" t="s">
        <v>422</v>
      </c>
      <c r="E76" s="485" t="s">
        <v>19</v>
      </c>
      <c r="F76" s="494"/>
      <c r="G76" s="494"/>
      <c r="H76" s="494">
        <v>198.76564570912501</v>
      </c>
      <c r="I76" s="495">
        <f t="shared" si="0"/>
        <v>0.198765645709125</v>
      </c>
      <c r="J76" s="337"/>
    </row>
    <row r="77" spans="1:10" x14ac:dyDescent="0.3">
      <c r="A77" s="809"/>
      <c r="B77" s="485" t="s">
        <v>17</v>
      </c>
      <c r="C77" s="485" t="s">
        <v>23</v>
      </c>
      <c r="D77" s="485" t="s">
        <v>422</v>
      </c>
      <c r="E77" s="485" t="s">
        <v>19</v>
      </c>
      <c r="F77" s="494"/>
      <c r="G77" s="494"/>
      <c r="H77" s="494">
        <v>198.76564570912501</v>
      </c>
      <c r="I77" s="495">
        <f t="shared" si="0"/>
        <v>0.198765645709125</v>
      </c>
      <c r="J77" s="8"/>
    </row>
    <row r="78" spans="1:10" x14ac:dyDescent="0.3">
      <c r="A78" s="809"/>
      <c r="B78" s="806" t="s">
        <v>22</v>
      </c>
      <c r="C78" s="806" t="s">
        <v>23</v>
      </c>
      <c r="D78" s="806" t="s">
        <v>84</v>
      </c>
      <c r="E78" s="485" t="s">
        <v>14</v>
      </c>
      <c r="F78" s="494"/>
      <c r="G78" s="494"/>
      <c r="H78" s="494">
        <v>616.17350169828603</v>
      </c>
      <c r="I78" s="495">
        <f t="shared" si="0"/>
        <v>0.616173501698286</v>
      </c>
      <c r="J78" s="337"/>
    </row>
    <row r="79" spans="1:10" x14ac:dyDescent="0.3">
      <c r="A79" s="809"/>
      <c r="B79" s="809"/>
      <c r="C79" s="809"/>
      <c r="D79" s="809"/>
      <c r="E79" s="485" t="s">
        <v>15</v>
      </c>
      <c r="F79" s="494"/>
      <c r="G79" s="494"/>
      <c r="H79" s="494">
        <v>369.70412257204202</v>
      </c>
      <c r="I79" s="495">
        <f t="shared" si="0"/>
        <v>0.36970412257204205</v>
      </c>
      <c r="J79" s="337"/>
    </row>
    <row r="80" spans="1:10" x14ac:dyDescent="0.3">
      <c r="A80" s="809"/>
      <c r="B80" s="807"/>
      <c r="C80" s="807"/>
      <c r="D80" s="807"/>
      <c r="E80" s="485" t="s">
        <v>16</v>
      </c>
      <c r="F80" s="494"/>
      <c r="G80" s="494"/>
      <c r="H80" s="494">
        <v>123.234743445798</v>
      </c>
      <c r="I80" s="495">
        <f t="shared" si="0"/>
        <v>0.123234743445798</v>
      </c>
      <c r="J80" s="337"/>
    </row>
    <row r="81" spans="1:11" hidden="1" x14ac:dyDescent="0.3">
      <c r="A81" s="809"/>
      <c r="B81" s="485" t="s">
        <v>419</v>
      </c>
      <c r="C81" s="485" t="s">
        <v>23</v>
      </c>
      <c r="D81" s="485" t="s">
        <v>84</v>
      </c>
      <c r="E81" s="485" t="s">
        <v>19</v>
      </c>
      <c r="F81" s="494"/>
      <c r="G81" s="494"/>
      <c r="H81" s="494">
        <v>198.76564570912501</v>
      </c>
      <c r="I81" s="495">
        <f t="shared" si="0"/>
        <v>0.198765645709125</v>
      </c>
      <c r="J81" s="337"/>
    </row>
    <row r="82" spans="1:11" x14ac:dyDescent="0.3">
      <c r="A82" s="809"/>
      <c r="B82" s="485" t="s">
        <v>17</v>
      </c>
      <c r="C82" s="485" t="s">
        <v>23</v>
      </c>
      <c r="D82" s="485" t="s">
        <v>84</v>
      </c>
      <c r="E82" s="485" t="s">
        <v>19</v>
      </c>
      <c r="F82" s="494"/>
      <c r="G82" s="494"/>
      <c r="H82" s="494">
        <v>198.76564570912501</v>
      </c>
      <c r="I82" s="495">
        <f t="shared" si="0"/>
        <v>0.198765645709125</v>
      </c>
      <c r="J82" s="337"/>
    </row>
    <row r="83" spans="1:11" x14ac:dyDescent="0.3">
      <c r="A83" s="809"/>
      <c r="B83" s="806" t="s">
        <v>22</v>
      </c>
      <c r="C83" s="806" t="s">
        <v>23</v>
      </c>
      <c r="D83" s="806" t="s">
        <v>85</v>
      </c>
      <c r="E83" s="485" t="s">
        <v>14</v>
      </c>
      <c r="F83" s="494"/>
      <c r="G83" s="494"/>
      <c r="H83" s="494">
        <v>616.17350169828603</v>
      </c>
      <c r="I83" s="495">
        <f t="shared" si="0"/>
        <v>0.616173501698286</v>
      </c>
      <c r="J83" s="337"/>
    </row>
    <row r="84" spans="1:11" x14ac:dyDescent="0.3">
      <c r="A84" s="809"/>
      <c r="B84" s="809"/>
      <c r="C84" s="809"/>
      <c r="D84" s="809"/>
      <c r="E84" s="485" t="s">
        <v>15</v>
      </c>
      <c r="F84" s="494"/>
      <c r="G84" s="494"/>
      <c r="H84" s="494">
        <v>369.70412257204202</v>
      </c>
      <c r="I84" s="495">
        <f t="shared" si="0"/>
        <v>0.36970412257204205</v>
      </c>
      <c r="J84" s="337"/>
    </row>
    <row r="85" spans="1:11" x14ac:dyDescent="0.3">
      <c r="A85" s="809"/>
      <c r="B85" s="807"/>
      <c r="C85" s="807"/>
      <c r="D85" s="807"/>
      <c r="E85" s="485" t="s">
        <v>16</v>
      </c>
      <c r="F85" s="494"/>
      <c r="G85" s="494"/>
      <c r="H85" s="494">
        <v>123.234743445798</v>
      </c>
      <c r="I85" s="495">
        <f t="shared" si="0"/>
        <v>0.123234743445798</v>
      </c>
      <c r="J85" s="337"/>
    </row>
    <row r="86" spans="1:11" hidden="1" x14ac:dyDescent="0.3">
      <c r="A86" s="809"/>
      <c r="B86" s="485" t="s">
        <v>419</v>
      </c>
      <c r="C86" s="485" t="s">
        <v>23</v>
      </c>
      <c r="D86" s="485" t="s">
        <v>85</v>
      </c>
      <c r="E86" s="485" t="s">
        <v>19</v>
      </c>
      <c r="F86" s="494"/>
      <c r="G86" s="494"/>
      <c r="H86" s="494">
        <v>198.76564570912501</v>
      </c>
      <c r="I86" s="495">
        <f t="shared" si="0"/>
        <v>0.198765645709125</v>
      </c>
      <c r="J86" s="337"/>
    </row>
    <row r="87" spans="1:11" x14ac:dyDescent="0.3">
      <c r="A87" s="807"/>
      <c r="B87" s="485" t="s">
        <v>17</v>
      </c>
      <c r="C87" s="485" t="s">
        <v>23</v>
      </c>
      <c r="D87" s="485" t="s">
        <v>85</v>
      </c>
      <c r="E87" s="485" t="s">
        <v>19</v>
      </c>
      <c r="F87" s="494"/>
      <c r="G87" s="494"/>
      <c r="H87" s="494">
        <v>198.76564570912501</v>
      </c>
      <c r="I87" s="495">
        <f t="shared" si="0"/>
        <v>0.198765645709125</v>
      </c>
      <c r="J87" s="337"/>
    </row>
    <row r="88" spans="1:11" x14ac:dyDescent="0.3">
      <c r="A88" s="806" t="s">
        <v>24</v>
      </c>
      <c r="B88" s="806" t="s">
        <v>22</v>
      </c>
      <c r="C88" s="806" t="s">
        <v>19</v>
      </c>
      <c r="D88" s="806" t="s">
        <v>19</v>
      </c>
      <c r="E88" s="485" t="s">
        <v>14</v>
      </c>
      <c r="F88" s="494"/>
      <c r="G88" s="494"/>
      <c r="H88" s="494">
        <v>655.92652307476101</v>
      </c>
      <c r="I88" s="495">
        <f t="shared" si="0"/>
        <v>0.65592652307476096</v>
      </c>
      <c r="J88" s="337"/>
      <c r="K88" s="339"/>
    </row>
    <row r="89" spans="1:11" x14ac:dyDescent="0.3">
      <c r="A89" s="809"/>
      <c r="B89" s="809"/>
      <c r="C89" s="809"/>
      <c r="D89" s="809"/>
      <c r="E89" s="485" t="s">
        <v>15</v>
      </c>
      <c r="F89" s="494"/>
      <c r="G89" s="494"/>
      <c r="H89" s="494">
        <v>393.55593539792602</v>
      </c>
      <c r="I89" s="495">
        <f t="shared" si="0"/>
        <v>0.39355593539792599</v>
      </c>
      <c r="J89" s="337"/>
    </row>
    <row r="90" spans="1:11" x14ac:dyDescent="0.3">
      <c r="A90" s="809"/>
      <c r="B90" s="807"/>
      <c r="C90" s="807"/>
      <c r="D90" s="807"/>
      <c r="E90" s="485" t="s">
        <v>16</v>
      </c>
      <c r="F90" s="494"/>
      <c r="G90" s="494"/>
      <c r="H90" s="494">
        <v>131.185347721092</v>
      </c>
      <c r="I90" s="495">
        <f t="shared" si="0"/>
        <v>0.131185347721092</v>
      </c>
      <c r="J90" s="337"/>
    </row>
    <row r="91" spans="1:11" hidden="1" x14ac:dyDescent="0.3">
      <c r="A91" s="809"/>
      <c r="B91" s="485" t="s">
        <v>419</v>
      </c>
      <c r="C91" s="485" t="s">
        <v>19</v>
      </c>
      <c r="D91" s="485" t="s">
        <v>19</v>
      </c>
      <c r="E91" s="485" t="s">
        <v>19</v>
      </c>
      <c r="F91" s="494"/>
      <c r="G91" s="494"/>
      <c r="H91" s="494">
        <v>198.76564570912501</v>
      </c>
      <c r="I91" s="495">
        <f t="shared" si="0"/>
        <v>0.198765645709125</v>
      </c>
      <c r="J91" s="337"/>
    </row>
    <row r="92" spans="1:11" x14ac:dyDescent="0.3">
      <c r="A92" s="807"/>
      <c r="B92" s="485" t="s">
        <v>17</v>
      </c>
      <c r="C92" s="485" t="s">
        <v>19</v>
      </c>
      <c r="D92" s="485" t="s">
        <v>19</v>
      </c>
      <c r="E92" s="485" t="s">
        <v>19</v>
      </c>
      <c r="F92" s="494"/>
      <c r="G92" s="494"/>
      <c r="H92" s="494">
        <v>198.76564570912501</v>
      </c>
      <c r="I92" s="495">
        <f t="shared" si="0"/>
        <v>0.198765645709125</v>
      </c>
      <c r="J92" s="337"/>
      <c r="K92" s="340"/>
    </row>
    <row r="93" spans="1:11" x14ac:dyDescent="0.3">
      <c r="A93" s="806" t="s">
        <v>26</v>
      </c>
      <c r="B93" s="806" t="s">
        <v>17</v>
      </c>
      <c r="C93" s="806" t="s">
        <v>86</v>
      </c>
      <c r="D93" s="485" t="s">
        <v>27</v>
      </c>
      <c r="E93" s="485" t="s">
        <v>19</v>
      </c>
      <c r="F93" s="494"/>
      <c r="G93" s="494"/>
      <c r="H93" s="494">
        <v>109.321105140019</v>
      </c>
      <c r="I93" s="495">
        <f t="shared" si="0"/>
        <v>0.109321105140019</v>
      </c>
      <c r="J93" s="337"/>
    </row>
    <row r="94" spans="1:11" x14ac:dyDescent="0.3">
      <c r="A94" s="807"/>
      <c r="B94" s="807"/>
      <c r="C94" s="807"/>
      <c r="D94" s="485" t="s">
        <v>28</v>
      </c>
      <c r="E94" s="485" t="s">
        <v>19</v>
      </c>
      <c r="F94" s="494"/>
      <c r="G94" s="494"/>
      <c r="H94" s="494">
        <v>119.259387425475</v>
      </c>
      <c r="I94" s="495">
        <f t="shared" si="0"/>
        <v>0.119259387425475</v>
      </c>
      <c r="J94" s="337"/>
    </row>
    <row r="95" spans="1:11" hidden="1" x14ac:dyDescent="0.3">
      <c r="A95" s="806" t="s">
        <v>423</v>
      </c>
      <c r="B95" s="806" t="s">
        <v>65</v>
      </c>
      <c r="C95" s="485" t="s">
        <v>424</v>
      </c>
      <c r="D95" s="485" t="s">
        <v>19</v>
      </c>
      <c r="E95" s="485" t="s">
        <v>19</v>
      </c>
      <c r="F95" s="494">
        <v>3.12519516900322</v>
      </c>
      <c r="G95" s="494"/>
      <c r="H95" s="494"/>
      <c r="I95" s="495">
        <f t="shared" si="0"/>
        <v>0</v>
      </c>
      <c r="J95" s="337"/>
    </row>
    <row r="96" spans="1:11" hidden="1" x14ac:dyDescent="0.3">
      <c r="A96" s="807"/>
      <c r="B96" s="807"/>
      <c r="C96" s="485" t="s">
        <v>425</v>
      </c>
      <c r="D96" s="485" t="s">
        <v>19</v>
      </c>
      <c r="E96" s="485" t="s">
        <v>19</v>
      </c>
      <c r="F96" s="494">
        <v>8.56594442753652</v>
      </c>
      <c r="G96" s="494"/>
      <c r="H96" s="494"/>
      <c r="I96" s="495">
        <f t="shared" si="0"/>
        <v>0</v>
      </c>
      <c r="J96" s="337"/>
    </row>
    <row r="97" spans="2:9" x14ac:dyDescent="0.3">
      <c r="B97" s="266"/>
      <c r="C97" s="266"/>
      <c r="D97" s="266"/>
      <c r="E97" s="266"/>
      <c r="F97" s="266"/>
      <c r="G97" s="266"/>
      <c r="H97" s="266"/>
      <c r="I97" s="266"/>
    </row>
    <row r="98" spans="2:9" x14ac:dyDescent="0.3">
      <c r="H98"/>
      <c r="I98"/>
    </row>
    <row r="99" spans="2:9" ht="20.399999999999999" x14ac:dyDescent="0.3">
      <c r="B99" s="808"/>
      <c r="C99" s="808"/>
      <c r="D99" s="808"/>
      <c r="E99" s="808"/>
      <c r="F99" s="276"/>
      <c r="G99" s="497" t="s">
        <v>90</v>
      </c>
      <c r="H99" s="497" t="s">
        <v>91</v>
      </c>
      <c r="I99" s="276"/>
    </row>
    <row r="100" spans="2:9" x14ac:dyDescent="0.3">
      <c r="B100" s="805" t="s">
        <v>95</v>
      </c>
      <c r="C100" s="805"/>
      <c r="D100" s="805"/>
      <c r="E100" s="805"/>
      <c r="F100" s="276"/>
      <c r="G100" s="498"/>
      <c r="H100" s="499"/>
      <c r="I100" s="276"/>
    </row>
    <row r="101" spans="2:9" x14ac:dyDescent="0.3">
      <c r="B101" s="805" t="s">
        <v>98</v>
      </c>
      <c r="C101" s="805"/>
      <c r="D101" s="805"/>
      <c r="E101" s="805"/>
      <c r="F101" s="276"/>
      <c r="G101" s="499"/>
      <c r="H101" s="500">
        <f>H$68-(H$68*65%)</f>
        <v>69.567975998193759</v>
      </c>
      <c r="I101" s="501">
        <f>H101/1000</f>
        <v>6.9567975998193754E-2</v>
      </c>
    </row>
    <row r="102" spans="2:9" x14ac:dyDescent="0.3">
      <c r="B102" s="805" t="s">
        <v>99</v>
      </c>
      <c r="C102" s="805"/>
      <c r="D102" s="805"/>
      <c r="E102" s="805"/>
      <c r="F102" s="276"/>
      <c r="G102" s="499"/>
      <c r="H102" s="500">
        <f>H$68-(H$68*40%)</f>
        <v>119.259387425475</v>
      </c>
      <c r="I102" s="501">
        <f>H102/1000</f>
        <v>0.119259387425475</v>
      </c>
    </row>
    <row r="103" spans="2:9" x14ac:dyDescent="0.3">
      <c r="B103" s="805" t="s">
        <v>100</v>
      </c>
      <c r="C103" s="805"/>
      <c r="D103" s="805"/>
      <c r="E103" s="805"/>
      <c r="F103" s="276"/>
      <c r="G103" s="499"/>
      <c r="H103" s="500">
        <f>H$68-(H$68*10%)</f>
        <v>178.8890811382125</v>
      </c>
      <c r="I103" s="501">
        <f>H103/1000</f>
        <v>0.1788890811382125</v>
      </c>
    </row>
    <row r="104" spans="2:9" x14ac:dyDescent="0.3">
      <c r="B104" s="805" t="s">
        <v>101</v>
      </c>
      <c r="C104" s="805"/>
      <c r="D104" s="805"/>
      <c r="E104" s="805"/>
      <c r="F104" s="276"/>
      <c r="G104" s="499"/>
      <c r="H104" s="500">
        <f>H$68</f>
        <v>198.76564570912501</v>
      </c>
      <c r="I104" s="501">
        <f>H104/1000</f>
        <v>0.198765645709125</v>
      </c>
    </row>
    <row r="105" spans="2:9" x14ac:dyDescent="0.3">
      <c r="H105"/>
      <c r="I105"/>
    </row>
    <row r="106" spans="2:9" x14ac:dyDescent="0.3">
      <c r="H106"/>
      <c r="I106"/>
    </row>
    <row r="107" spans="2:9" x14ac:dyDescent="0.3">
      <c r="H107"/>
      <c r="I107"/>
    </row>
    <row r="108" spans="2:9" x14ac:dyDescent="0.3">
      <c r="H108"/>
      <c r="I108"/>
    </row>
    <row r="109" spans="2:9" x14ac:dyDescent="0.3">
      <c r="H109"/>
      <c r="I109"/>
    </row>
    <row r="110" spans="2:9" x14ac:dyDescent="0.3">
      <c r="H110"/>
      <c r="I110"/>
    </row>
    <row r="111" spans="2:9" x14ac:dyDescent="0.3">
      <c r="H111"/>
      <c r="I111"/>
    </row>
    <row r="112" spans="2:9" x14ac:dyDescent="0.3">
      <c r="H112"/>
      <c r="I112"/>
    </row>
    <row r="113" spans="8:9" x14ac:dyDescent="0.3">
      <c r="H113"/>
      <c r="I113"/>
    </row>
    <row r="114" spans="8:9" x14ac:dyDescent="0.3">
      <c r="H114"/>
      <c r="I114"/>
    </row>
    <row r="115" spans="8:9" x14ac:dyDescent="0.3">
      <c r="H115"/>
      <c r="I115"/>
    </row>
    <row r="116" spans="8:9" x14ac:dyDescent="0.3">
      <c r="H116"/>
      <c r="I116"/>
    </row>
    <row r="117" spans="8:9" x14ac:dyDescent="0.3">
      <c r="H117"/>
      <c r="I117"/>
    </row>
    <row r="118" spans="8:9" x14ac:dyDescent="0.3">
      <c r="H118"/>
      <c r="I118"/>
    </row>
  </sheetData>
  <mergeCells count="48">
    <mergeCell ref="B3:I3"/>
    <mergeCell ref="B4:B6"/>
    <mergeCell ref="C4:C6"/>
    <mergeCell ref="D4:D6"/>
    <mergeCell ref="E4:E6"/>
    <mergeCell ref="F4:I4"/>
    <mergeCell ref="F5:G5"/>
    <mergeCell ref="H5:I5"/>
    <mergeCell ref="P5:Q5"/>
    <mergeCell ref="R5:S5"/>
    <mergeCell ref="L14:P16"/>
    <mergeCell ref="B58:I58"/>
    <mergeCell ref="A59:A61"/>
    <mergeCell ref="B59:B61"/>
    <mergeCell ref="C59:C61"/>
    <mergeCell ref="D59:D61"/>
    <mergeCell ref="E59:E61"/>
    <mergeCell ref="F59:H59"/>
    <mergeCell ref="A88:A92"/>
    <mergeCell ref="B88:B90"/>
    <mergeCell ref="C88:C90"/>
    <mergeCell ref="D88:D90"/>
    <mergeCell ref="F60:G60"/>
    <mergeCell ref="A62:A72"/>
    <mergeCell ref="B62:B64"/>
    <mergeCell ref="C62:C64"/>
    <mergeCell ref="D62:D64"/>
    <mergeCell ref="A73:A87"/>
    <mergeCell ref="B73:B75"/>
    <mergeCell ref="C73:C75"/>
    <mergeCell ref="D73:D75"/>
    <mergeCell ref="B78:B80"/>
    <mergeCell ref="B99:E99"/>
    <mergeCell ref="C78:C80"/>
    <mergeCell ref="D78:D80"/>
    <mergeCell ref="B83:B85"/>
    <mergeCell ref="C83:C85"/>
    <mergeCell ref="D83:D85"/>
    <mergeCell ref="A93:A94"/>
    <mergeCell ref="B93:B94"/>
    <mergeCell ref="C93:C94"/>
    <mergeCell ref="A95:A96"/>
    <mergeCell ref="B95:B96"/>
    <mergeCell ref="B100:E100"/>
    <mergeCell ref="B101:E101"/>
    <mergeCell ref="B102:E102"/>
    <mergeCell ref="B103:E103"/>
    <mergeCell ref="B104:E104"/>
  </mergeCells>
  <dataValidations count="1">
    <dataValidation type="list" allowBlank="1" showInputMessage="1" showErrorMessage="1" sqref="L9" xr:uid="{00000000-0002-0000-1000-000000000000}">
      <formula1>$P$9:$P$11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9">
    <tabColor rgb="FF92D050"/>
  </sheetPr>
  <dimension ref="A1:Y120"/>
  <sheetViews>
    <sheetView showGridLines="0" topLeftCell="A23" zoomScale="90" zoomScaleNormal="90" workbookViewId="0">
      <selection activeCell="L25" sqref="L25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24</v>
      </c>
      <c r="E2" s="438" t="s">
        <v>211</v>
      </c>
      <c r="F2" s="439">
        <f>'B1CDE '!F2</f>
        <v>46023</v>
      </c>
      <c r="G2" s="25" t="s">
        <v>210</v>
      </c>
      <c r="J2" s="25"/>
      <c r="K2" s="25"/>
    </row>
    <row r="4" spans="1:20" ht="15" customHeight="1" x14ac:dyDescent="0.3">
      <c r="B4" s="802" t="s">
        <v>212</v>
      </c>
      <c r="C4" s="803" t="s">
        <v>213</v>
      </c>
      <c r="D4" s="803"/>
      <c r="E4" s="803"/>
      <c r="F4" s="803" t="s">
        <v>214</v>
      </c>
      <c r="G4" s="803"/>
      <c r="H4" s="803"/>
      <c r="I4" s="804" t="s">
        <v>215</v>
      </c>
      <c r="J4" s="804"/>
      <c r="K4" s="804"/>
    </row>
    <row r="5" spans="1:20" x14ac:dyDescent="0.3">
      <c r="B5" s="802"/>
      <c r="C5" s="448" t="s">
        <v>217</v>
      </c>
      <c r="D5" s="448" t="s">
        <v>7</v>
      </c>
      <c r="E5" s="448" t="s">
        <v>218</v>
      </c>
      <c r="F5" s="448" t="s">
        <v>217</v>
      </c>
      <c r="G5" s="448" t="s">
        <v>7</v>
      </c>
      <c r="H5" s="448" t="s">
        <v>218</v>
      </c>
      <c r="I5" s="473" t="s">
        <v>217</v>
      </c>
      <c r="J5" s="473" t="s">
        <v>7</v>
      </c>
      <c r="K5" s="473" t="s">
        <v>218</v>
      </c>
    </row>
    <row r="6" spans="1:20" ht="18" x14ac:dyDescent="0.3">
      <c r="B6" s="474" t="s">
        <v>24</v>
      </c>
      <c r="C6" s="502">
        <v>0.39694999999999997</v>
      </c>
      <c r="D6" s="502">
        <v>0.28093000000000001</v>
      </c>
      <c r="E6" s="502">
        <f t="shared" ref="E6:E7" si="0">C6+D6</f>
        <v>0.67788000000000004</v>
      </c>
      <c r="F6" s="503">
        <v>0.45667000000000002</v>
      </c>
      <c r="G6" s="503">
        <v>0.33002999999999999</v>
      </c>
      <c r="H6" s="502">
        <f t="shared" ref="H6:H7" si="1">F6+G6</f>
        <v>0.78669999999999995</v>
      </c>
      <c r="I6" s="502">
        <f>((C6*$C$26)+(F6*$D$26))/($D$26+$C$26)</f>
        <v>0.45667000000000002</v>
      </c>
      <c r="J6" s="502">
        <f>((D6*$C$26)+(G6*$D$26))/($D$26+$C$26)</f>
        <v>0.33002999999999999</v>
      </c>
      <c r="K6" s="502">
        <f t="shared" ref="K6:K7" si="2">I6+J6</f>
        <v>0.78669999999999995</v>
      </c>
    </row>
    <row r="7" spans="1:20" x14ac:dyDescent="0.3">
      <c r="A7" s="27" t="s">
        <v>210</v>
      </c>
      <c r="B7" s="477" t="s">
        <v>216</v>
      </c>
      <c r="C7" s="502">
        <v>1.1506162773328076E-4</v>
      </c>
      <c r="D7" s="502">
        <v>-2.0731505487585774E-3</v>
      </c>
      <c r="E7" s="502">
        <f t="shared" si="0"/>
        <v>-1.9580889210252966E-3</v>
      </c>
      <c r="F7" s="533">
        <v>1.2448550414992767E-4</v>
      </c>
      <c r="G7" s="533">
        <v>-1.27319E-3</v>
      </c>
      <c r="H7" s="502">
        <f t="shared" si="1"/>
        <v>-1.1487044958500723E-3</v>
      </c>
      <c r="I7" s="502">
        <f>((C7*$C$26)+(F7*$D$26))/($D$26+$C$26)</f>
        <v>1.2448550414992767E-4</v>
      </c>
      <c r="J7" s="502">
        <f>((D7*$C$26)+(G7*$D$26))/($D$26+$C$26)</f>
        <v>-1.27319E-3</v>
      </c>
      <c r="K7" s="502">
        <f t="shared" si="2"/>
        <v>-1.1487044958500723E-3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40" t="s">
        <v>227</v>
      </c>
      <c r="K10" s="440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41" t="s">
        <v>229</v>
      </c>
      <c r="C11" s="441" t="s">
        <v>230</v>
      </c>
      <c r="F11" s="27"/>
      <c r="G11" s="27"/>
      <c r="J11" s="442">
        <f>IF(AND($B$26&lt;$F$2,$E$26&lt;$F$2),#REF!,IF($B$26&lt;$F$2,K15,J15))</f>
        <v>0.198765645709125</v>
      </c>
      <c r="K11" s="443">
        <f>D31*J11</f>
        <v>102.76183883161762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38" t="s">
        <v>201</v>
      </c>
      <c r="C12" s="444">
        <f>J51</f>
        <v>410.95000000000005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445" t="s">
        <v>231</v>
      </c>
      <c r="J13" s="445" t="s">
        <v>232</v>
      </c>
      <c r="K13" s="44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46"/>
      <c r="C14" s="447" t="s">
        <v>170</v>
      </c>
      <c r="D14" s="27"/>
      <c r="E14" s="27"/>
      <c r="F14" s="27"/>
      <c r="G14" s="27"/>
      <c r="I14" s="448" t="s">
        <v>234</v>
      </c>
      <c r="J14" s="448" t="s">
        <v>234</v>
      </c>
      <c r="K14" s="44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46" t="s">
        <v>190</v>
      </c>
      <c r="C15" s="444">
        <f>$C$12*(VLOOKUP($B$12,B112:G120,3,0))</f>
        <v>163.43151835831503</v>
      </c>
      <c r="D15" s="27"/>
      <c r="E15" s="27"/>
      <c r="F15" s="27"/>
      <c r="G15" s="27"/>
      <c r="I15" s="449">
        <v>0.19769341067594101</v>
      </c>
      <c r="J15" s="449">
        <v>0.198765645709125</v>
      </c>
      <c r="K15" s="449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46" t="s">
        <v>192</v>
      </c>
      <c r="C16" s="444">
        <f>$C$12*(VLOOKUP($B$12,B112:G120,5,0))</f>
        <v>103.82959464111468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46" t="s">
        <v>191</v>
      </c>
      <c r="C17" s="444">
        <f>$C$12*(VLOOKUP($B$12,B112:G120,4,0))</f>
        <v>34.983255811027604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46" t="s">
        <v>235</v>
      </c>
      <c r="C18" s="444">
        <f>$C$12*(VLOOKUP($B$12,B112:G120,6,0))</f>
        <v>108.70563118954273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46" t="s">
        <v>236</v>
      </c>
      <c r="C19" s="444">
        <f>L51</f>
        <v>110.92635355276542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47" t="s">
        <v>237</v>
      </c>
      <c r="C20" s="450">
        <f>SUM(C15:C19)</f>
        <v>521.87635355276552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f>'B1C ICMS'!B26</f>
        <v>46125</v>
      </c>
      <c r="C26" s="32">
        <f>IF((F2-B26-1)&lt;0,0,(F2-B26-1))</f>
        <v>0</v>
      </c>
      <c r="D26" s="32">
        <f>E26-F2+1</f>
        <v>133</v>
      </c>
      <c r="E26" s="122">
        <f>'B1C ICMS'!E26</f>
        <v>46155</v>
      </c>
      <c r="F26" s="451">
        <f>E26</f>
        <v>46155</v>
      </c>
      <c r="G26" s="25"/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517</v>
      </c>
      <c r="E31" s="171">
        <f>(ROUND(D31*K31,2)+ROUND(G31,2)+ROUND(J31,2))/ROUND(D31,4)</f>
        <v>0.57994197292069627</v>
      </c>
      <c r="F31" s="169">
        <f>ROUND(D31*E31,2)</f>
        <v>299.83</v>
      </c>
      <c r="G31" s="169">
        <f>((D31*K31)/(1-$N$31-$N$32))*($N$31+$N$32)</f>
        <v>9.7606019816723943</v>
      </c>
      <c r="H31" s="176">
        <f>ROUND((D31*K31)/(1-$N$31-$N$32)/(1-$I$31),8)</f>
        <v>299.82803899999999</v>
      </c>
      <c r="I31" s="247">
        <v>0.18</v>
      </c>
      <c r="J31" s="176">
        <f>H31*$I$31</f>
        <v>53.969047019999998</v>
      </c>
      <c r="K31" s="267">
        <f>I6</f>
        <v>0.45667000000000002</v>
      </c>
      <c r="L31" s="95" t="s">
        <v>263</v>
      </c>
      <c r="M31" s="169">
        <f>D66</f>
        <v>427.93918567114446</v>
      </c>
      <c r="N31" s="237">
        <f>'B1C ICMS'!N31</f>
        <v>7.1000000000000004E-3</v>
      </c>
      <c r="O31" s="178">
        <f>ROUND(M31*N31,2)</f>
        <v>3.04</v>
      </c>
    </row>
    <row r="32" spans="1:25" x14ac:dyDescent="0.3">
      <c r="B32" s="163" t="s">
        <v>289</v>
      </c>
      <c r="C32" s="164" t="s">
        <v>262</v>
      </c>
      <c r="D32" s="184">
        <f>D31</f>
        <v>517</v>
      </c>
      <c r="E32" s="171">
        <f>(ROUND(D32*K32,2)+ROUND(G32,2)+ROUND(J32,2))/ROUND(D32,4)</f>
        <v>0.41911025145067698</v>
      </c>
      <c r="F32" s="169">
        <f t="shared" ref="F32:F36" si="3">ROUND(D32*E32,2)</f>
        <v>216.68</v>
      </c>
      <c r="G32" s="169">
        <f>((D32*K32)/(1-$N$31-$N$32))*($N$31+$N$32)</f>
        <v>7.0538714432989682</v>
      </c>
      <c r="H32" s="176">
        <f t="shared" ref="H32:H36" si="4">(D32*K32)/(1-$N$31-$N$32)/(1-$I$31)</f>
        <v>216.68217249182797</v>
      </c>
      <c r="I32" s="163"/>
      <c r="J32" s="176">
        <f t="shared" ref="J32:J36" si="5">H32*$I$31</f>
        <v>39.002791048529033</v>
      </c>
      <c r="K32" s="267">
        <f>J6</f>
        <v>0.33002999999999999</v>
      </c>
      <c r="L32" s="95" t="s">
        <v>265</v>
      </c>
      <c r="M32" s="169">
        <f>M31</f>
        <v>427.93918567114446</v>
      </c>
      <c r="N32" s="237">
        <f>'B1C ICMS'!N32</f>
        <v>3.2599999999999997E-2</v>
      </c>
      <c r="O32" s="178">
        <f>ROUND(M32*N32,2)</f>
        <v>13.95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224.03333333333333</v>
      </c>
      <c r="E33" s="171">
        <f>IFERROR((ROUND(D33*K33,2)+ROUND(G33,2)+ROUND(J33,2))/ROUND(D33,4), 0)</f>
        <v>2.3925014718794033E-2</v>
      </c>
      <c r="F33" s="169">
        <f t="shared" si="3"/>
        <v>5.36</v>
      </c>
      <c r="G33" s="169">
        <f t="shared" ref="G33:G36" si="6">((D33*K33)/(1-$N$31-$N$32))*($N$31+$N$32)</f>
        <v>0.17458525964108434</v>
      </c>
      <c r="H33" s="176">
        <f t="shared" si="4"/>
        <v>5.3629434060663614</v>
      </c>
      <c r="I33" s="163"/>
      <c r="J33" s="176">
        <f t="shared" si="5"/>
        <v>0.96532981309194499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6" si="7">K34/(1-$N$31-$N$32)/(1-$I$31)</f>
        <v>5.6676902289172847E-2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7"/>
        <v>0.10003225618010632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7"/>
        <v>0.18032982579122883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5">
        <v>0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>
        <v>0</v>
      </c>
      <c r="G38" s="163"/>
      <c r="H38" s="163"/>
      <c r="I38" s="163"/>
      <c r="J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>
        <v>0</v>
      </c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>
        <v>0</v>
      </c>
      <c r="G40" s="163"/>
      <c r="H40" s="163"/>
      <c r="I40" s="163"/>
      <c r="J40" s="163"/>
      <c r="K40" s="163"/>
      <c r="O40" s="46"/>
      <c r="R40" s="187"/>
    </row>
    <row r="41" spans="2:19" x14ac:dyDescent="0.3">
      <c r="B41" s="343" t="s">
        <v>272</v>
      </c>
      <c r="C41" s="343"/>
      <c r="D41" s="344"/>
      <c r="E41" s="343"/>
      <c r="F41" s="345">
        <v>0</v>
      </c>
      <c r="G41" s="163"/>
      <c r="H41" s="163"/>
      <c r="I41" s="163"/>
      <c r="J41" s="163"/>
      <c r="K41" s="163"/>
      <c r="O41" s="46"/>
    </row>
    <row r="42" spans="2:19" x14ac:dyDescent="0.3">
      <c r="B42" s="253" t="s">
        <v>426</v>
      </c>
      <c r="C42" s="253"/>
      <c r="D42" s="254"/>
      <c r="E42" s="253">
        <v>1.2E-2</v>
      </c>
      <c r="F42" s="255">
        <f>-SUM(F31:F38)*$E$42</f>
        <v>-6.2624399999999998</v>
      </c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">
      <c r="B44" s="170" t="s">
        <v>177</v>
      </c>
      <c r="C44" s="166"/>
      <c r="D44" s="185"/>
      <c r="E44" s="166"/>
      <c r="F44" s="172">
        <f>SUM(F31:F43)</f>
        <v>515.60756000000003</v>
      </c>
      <c r="G44" s="175">
        <f>SUM(G31:G43)</f>
        <v>16.989058684612445</v>
      </c>
      <c r="H44" s="177">
        <f>SUM(H31:H43)</f>
        <v>521.87315489789432</v>
      </c>
      <c r="I44" s="166"/>
      <c r="J44" s="177">
        <f>SUM(J31:J43)</f>
        <v>93.937167881620965</v>
      </c>
      <c r="K44" s="166"/>
      <c r="L44" s="53"/>
      <c r="M44" s="53"/>
      <c r="N44" s="53"/>
      <c r="O44" s="241">
        <f>F44</f>
        <v>515.60756000000003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-0.5938802243544874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336" t="s">
        <v>275</v>
      </c>
      <c r="E51" s="336" t="s">
        <v>6</v>
      </c>
      <c r="F51" s="336" t="s">
        <v>7</v>
      </c>
      <c r="G51" s="336" t="s">
        <v>218</v>
      </c>
      <c r="H51" s="596" t="s">
        <v>170</v>
      </c>
      <c r="I51"/>
      <c r="J51" s="800">
        <f>SUM(H54:H60)</f>
        <v>410.95000000000005</v>
      </c>
      <c r="K51" s="801"/>
      <c r="L51" s="800">
        <f>SUM(H66:H68)</f>
        <v>110.92635355276542</v>
      </c>
      <c r="M51" s="80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521.87635355276552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597">
        <f>D31</f>
        <v>517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406.73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224.03333333333333</v>
      </c>
      <c r="E57" s="27"/>
      <c r="F57" s="48">
        <f>N23</f>
        <v>1.8849999999999999E-2</v>
      </c>
      <c r="G57" s="48"/>
      <c r="H57" s="42">
        <f>ROUND(D57*(E57+F57),2)</f>
        <v>4.22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427.93918567114446</v>
      </c>
      <c r="E66" s="215">
        <f>N31</f>
        <v>7.1000000000000004E-3</v>
      </c>
      <c r="F66" s="27"/>
      <c r="G66" s="27"/>
      <c r="H66" s="42">
        <f>D66*E66</f>
        <v>3.0383682182651257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427.93918567114446</v>
      </c>
      <c r="E67" s="215">
        <f>N32</f>
        <v>3.2599999999999997E-2</v>
      </c>
      <c r="F67" s="27"/>
      <c r="G67" s="27"/>
      <c r="H67" s="42">
        <f>D67*E67</f>
        <v>13.950817452879308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521.87315489789432</v>
      </c>
      <c r="E68" s="249">
        <f>I31</f>
        <v>0.18</v>
      </c>
      <c r="F68" s="27"/>
      <c r="G68" s="27"/>
      <c r="H68" s="42">
        <f>D68*E68</f>
        <v>93.937167881620979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05" t="s">
        <v>191</v>
      </c>
      <c r="F81" s="305" t="s">
        <v>192</v>
      </c>
      <c r="G81" s="30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05"/>
      <c r="E83" s="305"/>
      <c r="F83" s="305"/>
      <c r="G83" s="305"/>
    </row>
    <row r="84" spans="2:10" x14ac:dyDescent="0.3">
      <c r="B84" s="35" t="s">
        <v>196</v>
      </c>
      <c r="C84" s="35"/>
      <c r="D84" s="306">
        <v>0.39769197799808981</v>
      </c>
      <c r="E84" s="306">
        <v>8.512776690845017E-2</v>
      </c>
      <c r="F84" s="306">
        <v>0.25265748787228293</v>
      </c>
      <c r="G84" s="306">
        <v>0.26452276722117707</v>
      </c>
    </row>
    <row r="85" spans="2:10" x14ac:dyDescent="0.3">
      <c r="B85" s="35" t="s">
        <v>197</v>
      </c>
      <c r="C85" s="35"/>
      <c r="D85" s="306">
        <v>0.51666134768573579</v>
      </c>
      <c r="E85" s="306">
        <v>0.11059369866547396</v>
      </c>
      <c r="F85" s="306">
        <v>0.32823985750000007</v>
      </c>
      <c r="G85" s="306">
        <v>4.4505096148790169E-2</v>
      </c>
    </row>
    <row r="86" spans="2:10" x14ac:dyDescent="0.3">
      <c r="B86" s="35" t="s">
        <v>198</v>
      </c>
      <c r="C86" s="35"/>
      <c r="D86" s="306">
        <v>0.39769197799808981</v>
      </c>
      <c r="E86" s="306">
        <v>8.512776690845017E-2</v>
      </c>
      <c r="F86" s="306">
        <v>0.25265748787228293</v>
      </c>
      <c r="G86" s="306">
        <v>0.26452276722117707</v>
      </c>
    </row>
    <row r="87" spans="2:10" x14ac:dyDescent="0.3">
      <c r="B87" s="35" t="s">
        <v>199</v>
      </c>
      <c r="C87" s="35"/>
      <c r="D87" s="306">
        <v>0.39769197799808981</v>
      </c>
      <c r="E87" s="306">
        <v>8.512776690845017E-2</v>
      </c>
      <c r="F87" s="306">
        <v>0.25265748787228293</v>
      </c>
      <c r="G87" s="306">
        <v>0.26452276722117707</v>
      </c>
      <c r="J87" s="30"/>
    </row>
    <row r="88" spans="2:10" x14ac:dyDescent="0.3">
      <c r="B88" s="35" t="s">
        <v>200</v>
      </c>
      <c r="C88" s="35"/>
      <c r="D88" s="306">
        <v>0.39769197799808981</v>
      </c>
      <c r="E88" s="306">
        <v>8.512776690845017E-2</v>
      </c>
      <c r="F88" s="306">
        <v>0.25265748787228293</v>
      </c>
      <c r="G88" s="306">
        <v>0.26452276722117707</v>
      </c>
    </row>
    <row r="89" spans="2:10" x14ac:dyDescent="0.3">
      <c r="B89" s="35" t="s">
        <v>201</v>
      </c>
      <c r="C89" s="35"/>
      <c r="D89" s="306">
        <v>0.39769197799808981</v>
      </c>
      <c r="E89" s="306">
        <v>8.512776690845017E-2</v>
      </c>
      <c r="F89" s="306">
        <v>0.25265748787228293</v>
      </c>
      <c r="G89" s="306">
        <v>0.26452276722117707</v>
      </c>
    </row>
    <row r="90" spans="2:10" x14ac:dyDescent="0.3">
      <c r="B90" s="35" t="s">
        <v>202</v>
      </c>
      <c r="C90" s="35"/>
      <c r="D90" s="306">
        <v>0.39769197799808981</v>
      </c>
      <c r="E90" s="306">
        <v>8.512776690845017E-2</v>
      </c>
      <c r="F90" s="306">
        <v>0.25265748787228293</v>
      </c>
      <c r="G90" s="306">
        <v>0.26452276722117707</v>
      </c>
    </row>
    <row r="91" spans="2:10" x14ac:dyDescent="0.3">
      <c r="B91" s="35" t="s">
        <v>203</v>
      </c>
      <c r="C91" s="35"/>
      <c r="D91" s="306">
        <v>0.39769197799808981</v>
      </c>
      <c r="E91" s="306">
        <v>8.512776690845017E-2</v>
      </c>
      <c r="F91" s="306">
        <v>0.25265748787228293</v>
      </c>
      <c r="G91" s="306">
        <v>0.26452276722117707</v>
      </c>
    </row>
    <row r="92" spans="2:10" x14ac:dyDescent="0.3">
      <c r="B92" s="35" t="s">
        <v>204</v>
      </c>
      <c r="C92" s="35"/>
      <c r="D92" s="306">
        <v>0.39769197799808981</v>
      </c>
      <c r="E92" s="306">
        <v>8.512776690845017E-2</v>
      </c>
      <c r="F92" s="306">
        <v>0.25265748787228293</v>
      </c>
      <c r="G92" s="306">
        <v>0.26452276722117707</v>
      </c>
    </row>
    <row r="93" spans="2:10" x14ac:dyDescent="0.3">
      <c r="B93" s="64"/>
      <c r="C93" s="64"/>
      <c r="D93" s="119"/>
      <c r="E93" s="119"/>
      <c r="F93" s="119"/>
      <c r="G93" s="119"/>
    </row>
    <row r="94" spans="2:10" x14ac:dyDescent="0.3">
      <c r="B94" s="64"/>
      <c r="C94" s="64"/>
      <c r="D94" s="119"/>
      <c r="E94" s="119"/>
      <c r="F94" s="119"/>
      <c r="G94" s="119"/>
    </row>
    <row r="95" spans="2:10" x14ac:dyDescent="0.3">
      <c r="B95" s="35">
        <v>2025</v>
      </c>
      <c r="C95" s="35"/>
      <c r="D95" s="305" t="s">
        <v>190</v>
      </c>
      <c r="E95" s="305" t="s">
        <v>191</v>
      </c>
      <c r="F95" s="305" t="s">
        <v>192</v>
      </c>
      <c r="G95" s="305" t="s">
        <v>193</v>
      </c>
    </row>
    <row r="96" spans="2:10" x14ac:dyDescent="0.3">
      <c r="B96" s="35" t="s">
        <v>194</v>
      </c>
      <c r="C96" s="35"/>
      <c r="D96" s="305" t="s">
        <v>195</v>
      </c>
      <c r="E96" s="305" t="s">
        <v>195</v>
      </c>
      <c r="F96" s="305" t="s">
        <v>195</v>
      </c>
      <c r="G96" s="305" t="s">
        <v>195</v>
      </c>
    </row>
    <row r="97" spans="2:7" x14ac:dyDescent="0.3">
      <c r="B97" s="35"/>
      <c r="C97" s="35"/>
      <c r="D97" s="305"/>
      <c r="E97" s="305"/>
      <c r="F97" s="305"/>
      <c r="G97" s="305"/>
    </row>
    <row r="98" spans="2:7" x14ac:dyDescent="0.3">
      <c r="B98" s="35" t="s">
        <v>196</v>
      </c>
      <c r="C98" s="35"/>
      <c r="D98" s="306">
        <v>0.41273682960000002</v>
      </c>
      <c r="E98" s="306">
        <v>9.8534926200000011E-2</v>
      </c>
      <c r="F98" s="306">
        <v>0.2916348184</v>
      </c>
      <c r="G98" s="306">
        <v>0.19709700829999999</v>
      </c>
    </row>
    <row r="99" spans="2:7" x14ac:dyDescent="0.3">
      <c r="B99" s="35" t="s">
        <v>197</v>
      </c>
      <c r="C99" s="35"/>
      <c r="D99" s="306">
        <v>0.49306718250000003</v>
      </c>
      <c r="E99" s="306">
        <v>0.11771263169999999</v>
      </c>
      <c r="F99" s="306">
        <v>0.34839526770000001</v>
      </c>
      <c r="G99" s="306">
        <v>4.0810691699999999E-2</v>
      </c>
    </row>
    <row r="100" spans="2:7" x14ac:dyDescent="0.3">
      <c r="B100" s="35" t="s">
        <v>198</v>
      </c>
      <c r="C100" s="35"/>
      <c r="D100" s="306">
        <v>0.41273682960000002</v>
      </c>
      <c r="E100" s="306">
        <v>9.8534926200000011E-2</v>
      </c>
      <c r="F100" s="306">
        <v>0.2916348184</v>
      </c>
      <c r="G100" s="306">
        <v>0.19709700829999999</v>
      </c>
    </row>
    <row r="101" spans="2:7" x14ac:dyDescent="0.3">
      <c r="B101" s="35" t="s">
        <v>199</v>
      </c>
      <c r="C101" s="35"/>
      <c r="D101" s="306">
        <v>0.41273682960000002</v>
      </c>
      <c r="E101" s="306">
        <v>9.8534926200000011E-2</v>
      </c>
      <c r="F101" s="306">
        <v>0.2916348184</v>
      </c>
      <c r="G101" s="306">
        <v>0.19709700829999999</v>
      </c>
    </row>
    <row r="102" spans="2:7" x14ac:dyDescent="0.3">
      <c r="B102" s="35" t="s">
        <v>200</v>
      </c>
      <c r="C102" s="35"/>
      <c r="D102" s="306">
        <v>0.41273682960000002</v>
      </c>
      <c r="E102" s="306">
        <v>9.8534926200000011E-2</v>
      </c>
      <c r="F102" s="306">
        <v>0.2916348184</v>
      </c>
      <c r="G102" s="306">
        <v>0.19709700829999999</v>
      </c>
    </row>
    <row r="103" spans="2:7" x14ac:dyDescent="0.3">
      <c r="B103" s="35" t="s">
        <v>201</v>
      </c>
      <c r="C103" s="35"/>
      <c r="D103" s="306">
        <v>0.41273682960000002</v>
      </c>
      <c r="E103" s="306">
        <v>9.8534926200000011E-2</v>
      </c>
      <c r="F103" s="306">
        <v>0.2916348184</v>
      </c>
      <c r="G103" s="306">
        <v>0.19709700829999999</v>
      </c>
    </row>
    <row r="104" spans="2:7" x14ac:dyDescent="0.3">
      <c r="B104" s="35" t="s">
        <v>202</v>
      </c>
      <c r="C104" s="35"/>
      <c r="D104" s="306">
        <v>0.41273480010000002</v>
      </c>
      <c r="E104" s="306">
        <v>9.8534441600000008E-2</v>
      </c>
      <c r="F104" s="306">
        <v>0.29163338430000002</v>
      </c>
      <c r="G104" s="306">
        <v>0.19709603919999999</v>
      </c>
    </row>
    <row r="105" spans="2:7" x14ac:dyDescent="0.3">
      <c r="B105" s="35" t="s">
        <v>203</v>
      </c>
      <c r="C105" s="35"/>
      <c r="D105" s="306">
        <v>0.41274125779999998</v>
      </c>
      <c r="E105" s="306">
        <v>9.8535983300000005E-2</v>
      </c>
      <c r="F105" s="306">
        <v>0.29163794719999997</v>
      </c>
      <c r="G105" s="306">
        <v>0.19709912289999998</v>
      </c>
    </row>
    <row r="106" spans="2:7" x14ac:dyDescent="0.3">
      <c r="B106" s="35" t="s">
        <v>204</v>
      </c>
      <c r="C106" s="35"/>
      <c r="D106" s="306">
        <v>0.41273480010000002</v>
      </c>
      <c r="E106" s="306">
        <v>9.8534441600000008E-2</v>
      </c>
      <c r="F106" s="306">
        <v>0.29163338430000002</v>
      </c>
      <c r="G106" s="306">
        <v>0.19709603919999999</v>
      </c>
    </row>
    <row r="107" spans="2:7" x14ac:dyDescent="0.3">
      <c r="B107" s="64"/>
      <c r="C107" s="64"/>
      <c r="D107" s="119"/>
      <c r="E107" s="119"/>
      <c r="F107" s="119"/>
      <c r="G107" s="119"/>
    </row>
    <row r="108" spans="2:7" x14ac:dyDescent="0.3">
      <c r="B108" s="135" t="s">
        <v>284</v>
      </c>
      <c r="C108" s="64"/>
      <c r="D108" s="119"/>
      <c r="E108" s="119"/>
      <c r="F108" s="119"/>
      <c r="G108" s="119"/>
    </row>
    <row r="109" spans="2:7" x14ac:dyDescent="0.3">
      <c r="B109" s="35"/>
      <c r="C109" s="35"/>
      <c r="D109" s="305" t="s">
        <v>190</v>
      </c>
      <c r="E109" s="305" t="s">
        <v>191</v>
      </c>
      <c r="F109" s="305" t="s">
        <v>192</v>
      </c>
      <c r="G109" s="30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306"/>
      <c r="E111" s="306"/>
      <c r="F111" s="306"/>
      <c r="G111" s="306"/>
    </row>
    <row r="112" spans="2:7" x14ac:dyDescent="0.3">
      <c r="B112" s="35" t="s">
        <v>196</v>
      </c>
      <c r="C112" s="35"/>
      <c r="D112" s="306">
        <f t="shared" ref="D112:G120" si="8">((D98*$C$26)+(D84*$D$26))/($C$26+$D$26)</f>
        <v>0.39769197799808981</v>
      </c>
      <c r="E112" s="306">
        <f t="shared" si="8"/>
        <v>8.512776690845017E-2</v>
      </c>
      <c r="F112" s="306">
        <f t="shared" si="8"/>
        <v>0.25265748787228293</v>
      </c>
      <c r="G112" s="306">
        <f t="shared" si="8"/>
        <v>0.26452276722117707</v>
      </c>
    </row>
    <row r="113" spans="2:7" x14ac:dyDescent="0.3">
      <c r="B113" s="35" t="s">
        <v>197</v>
      </c>
      <c r="C113" s="35"/>
      <c r="D113" s="306">
        <f t="shared" si="8"/>
        <v>0.51666134768573579</v>
      </c>
      <c r="E113" s="306">
        <f t="shared" si="8"/>
        <v>0.11059369866547396</v>
      </c>
      <c r="F113" s="306">
        <f t="shared" si="8"/>
        <v>0.32823985750000007</v>
      </c>
      <c r="G113" s="306">
        <f t="shared" si="8"/>
        <v>4.4505096148790169E-2</v>
      </c>
    </row>
    <row r="114" spans="2:7" x14ac:dyDescent="0.3">
      <c r="B114" s="35" t="s">
        <v>198</v>
      </c>
      <c r="C114" s="35"/>
      <c r="D114" s="306">
        <f t="shared" si="8"/>
        <v>0.39769197799808981</v>
      </c>
      <c r="E114" s="306">
        <f t="shared" si="8"/>
        <v>8.512776690845017E-2</v>
      </c>
      <c r="F114" s="306">
        <f t="shared" si="8"/>
        <v>0.25265748787228293</v>
      </c>
      <c r="G114" s="306">
        <f t="shared" si="8"/>
        <v>0.26452276722117707</v>
      </c>
    </row>
    <row r="115" spans="2:7" x14ac:dyDescent="0.3">
      <c r="B115" s="35" t="s">
        <v>199</v>
      </c>
      <c r="C115" s="35"/>
      <c r="D115" s="306">
        <f t="shared" si="8"/>
        <v>0.39769197799808981</v>
      </c>
      <c r="E115" s="306">
        <f t="shared" si="8"/>
        <v>8.512776690845017E-2</v>
      </c>
      <c r="F115" s="306">
        <f t="shared" si="8"/>
        <v>0.25265748787228293</v>
      </c>
      <c r="G115" s="306">
        <f t="shared" si="8"/>
        <v>0.26452276722117707</v>
      </c>
    </row>
    <row r="116" spans="2:7" x14ac:dyDescent="0.3">
      <c r="B116" s="35" t="s">
        <v>200</v>
      </c>
      <c r="C116" s="35"/>
      <c r="D116" s="306">
        <f t="shared" si="8"/>
        <v>0.39769197799808981</v>
      </c>
      <c r="E116" s="306">
        <f t="shared" si="8"/>
        <v>8.512776690845017E-2</v>
      </c>
      <c r="F116" s="306">
        <f t="shared" si="8"/>
        <v>0.25265748787228293</v>
      </c>
      <c r="G116" s="306">
        <f t="shared" si="8"/>
        <v>0.26452276722117707</v>
      </c>
    </row>
    <row r="117" spans="2:7" x14ac:dyDescent="0.3">
      <c r="B117" s="35" t="s">
        <v>201</v>
      </c>
      <c r="C117" s="35"/>
      <c r="D117" s="306">
        <f t="shared" si="8"/>
        <v>0.39769197799808981</v>
      </c>
      <c r="E117" s="306">
        <f t="shared" si="8"/>
        <v>8.512776690845017E-2</v>
      </c>
      <c r="F117" s="306">
        <f t="shared" si="8"/>
        <v>0.25265748787228293</v>
      </c>
      <c r="G117" s="306">
        <f t="shared" si="8"/>
        <v>0.26452276722117707</v>
      </c>
    </row>
    <row r="118" spans="2:7" x14ac:dyDescent="0.3">
      <c r="B118" s="35" t="s">
        <v>202</v>
      </c>
      <c r="C118" s="35"/>
      <c r="D118" s="306">
        <f t="shared" si="8"/>
        <v>0.39769197799808981</v>
      </c>
      <c r="E118" s="306">
        <f t="shared" si="8"/>
        <v>8.512776690845017E-2</v>
      </c>
      <c r="F118" s="306">
        <f t="shared" si="8"/>
        <v>0.25265748787228293</v>
      </c>
      <c r="G118" s="306">
        <f t="shared" si="8"/>
        <v>0.26452276722117707</v>
      </c>
    </row>
    <row r="119" spans="2:7" x14ac:dyDescent="0.3">
      <c r="B119" s="35" t="s">
        <v>203</v>
      </c>
      <c r="C119" s="35"/>
      <c r="D119" s="306">
        <f t="shared" si="8"/>
        <v>0.39769197799808981</v>
      </c>
      <c r="E119" s="306">
        <f t="shared" si="8"/>
        <v>8.512776690845017E-2</v>
      </c>
      <c r="F119" s="306">
        <f t="shared" si="8"/>
        <v>0.25265748787228293</v>
      </c>
      <c r="G119" s="306">
        <f t="shared" si="8"/>
        <v>0.26452276722117707</v>
      </c>
    </row>
    <row r="120" spans="2:7" x14ac:dyDescent="0.3">
      <c r="B120" s="35" t="s">
        <v>204</v>
      </c>
      <c r="C120" s="35"/>
      <c r="D120" s="306">
        <f t="shared" si="8"/>
        <v>0.39769197799808981</v>
      </c>
      <c r="E120" s="306">
        <f t="shared" si="8"/>
        <v>8.512776690845017E-2</v>
      </c>
      <c r="F120" s="306">
        <f t="shared" si="8"/>
        <v>0.25265748787228293</v>
      </c>
      <c r="G120" s="306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97" priority="1" operator="equal">
      <formula>"Escassez Hídrica"</formula>
    </cfRule>
    <cfRule type="cellIs" dxfId="96" priority="2" operator="equal">
      <formula>"VERDE"</formula>
    </cfRule>
    <cfRule type="cellIs" dxfId="95" priority="3" operator="equal">
      <formula>"BVM2"</formula>
    </cfRule>
    <cfRule type="cellIs" dxfId="94" priority="4" operator="equal">
      <formula>"BVM1"</formula>
    </cfRule>
    <cfRule type="cellIs" dxfId="93" priority="5" operator="equal">
      <formula>"BAM"</formula>
    </cfRule>
  </conditionalFormatting>
  <conditionalFormatting sqref="M22">
    <cfRule type="cellIs" dxfId="92" priority="11" operator="equal">
      <formula>"VERDE"</formula>
    </cfRule>
    <cfRule type="cellIs" dxfId="91" priority="12" operator="equal">
      <formula>"BVM2"</formula>
    </cfRule>
    <cfRule type="cellIs" dxfId="90" priority="13" operator="equal">
      <formula>"BVM1"</formula>
    </cfRule>
    <cfRule type="cellIs" dxfId="89" priority="14" operator="equal">
      <formula>"BAM"</formula>
    </cfRule>
  </conditionalFormatting>
  <conditionalFormatting sqref="M26">
    <cfRule type="containsText" dxfId="88" priority="6" operator="containsText" text="Escassez Hídrica">
      <formula>NOT(ISERROR(SEARCH("Escassez Hídrica",M26)))</formula>
    </cfRule>
    <cfRule type="cellIs" dxfId="87" priority="7" operator="equal">
      <formula>"VERDE"</formula>
    </cfRule>
    <cfRule type="cellIs" dxfId="86" priority="8" operator="equal">
      <formula>"BVM2"</formula>
    </cfRule>
    <cfRule type="cellIs" dxfId="85" priority="9" operator="equal">
      <formula>"BVM1"</formula>
    </cfRule>
    <cfRule type="cellIs" dxfId="84" priority="10" operator="equal">
      <formula>"BAM"</formula>
    </cfRule>
  </conditionalFormatting>
  <dataValidations count="2">
    <dataValidation type="list" allowBlank="1" showInputMessage="1" showErrorMessage="1" sqref="B12" xr:uid="{00000000-0002-0000-1100-000000000000}">
      <formula1>$B$71:$B$79</formula1>
    </dataValidation>
    <dataValidation type="list" allowBlank="1" showInputMessage="1" showErrorMessage="1" sqref="I24:J24" xr:uid="{00000000-0002-0000-11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5">
    <tabColor rgb="FF92D050"/>
  </sheetPr>
  <dimension ref="A1:Y126"/>
  <sheetViews>
    <sheetView showGridLines="0" zoomScale="90" zoomScaleNormal="90" workbookViewId="0">
      <selection activeCell="F2" sqref="F2"/>
    </sheetView>
  </sheetViews>
  <sheetFormatPr defaultColWidth="9.21875" defaultRowHeight="14.4" x14ac:dyDescent="0.3"/>
  <cols>
    <col min="1" max="1" width="5.44140625" style="27" customWidth="1"/>
    <col min="2" max="2" width="27.5546875" style="27" customWidth="1"/>
    <col min="3" max="10" width="12.77734375" style="27" customWidth="1"/>
    <col min="11" max="11" width="13.77734375" style="27" bestFit="1" customWidth="1"/>
    <col min="12" max="12" width="9.21875" style="27" customWidth="1"/>
    <col min="13" max="13" width="14.21875" style="27" customWidth="1"/>
    <col min="14" max="14" width="12.77734375" style="27" customWidth="1"/>
    <col min="15" max="15" width="9.77734375" style="27" bestFit="1" customWidth="1"/>
    <col min="16" max="16" width="14.21875" style="27" bestFit="1" customWidth="1"/>
    <col min="17" max="17" width="19" style="27" bestFit="1" customWidth="1"/>
    <col min="18" max="18" width="13.21875" style="27" bestFit="1" customWidth="1"/>
    <col min="19" max="19" width="21.21875" style="27" bestFit="1" customWidth="1"/>
    <col min="20" max="21" width="13.21875" style="27" bestFit="1" customWidth="1"/>
    <col min="22" max="22" width="11.21875" style="27" bestFit="1" customWidth="1"/>
    <col min="23" max="23" width="21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5" x14ac:dyDescent="0.3">
      <c r="A1" s="27" t="s">
        <v>210</v>
      </c>
      <c r="B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5" ht="18" x14ac:dyDescent="0.3">
      <c r="A2" s="27" t="s">
        <v>210</v>
      </c>
      <c r="B2" s="12" t="s">
        <v>427</v>
      </c>
      <c r="E2" s="504" t="s">
        <v>294</v>
      </c>
      <c r="F2" s="439">
        <f>'B1CDE '!F2</f>
        <v>46023</v>
      </c>
      <c r="G2" s="25" t="s">
        <v>210</v>
      </c>
      <c r="J2" s="25"/>
      <c r="K2" s="25"/>
      <c r="M2" s="37"/>
    </row>
    <row r="3" spans="1:25" x14ac:dyDescent="0.3">
      <c r="V3" s="35" t="s">
        <v>196</v>
      </c>
    </row>
    <row r="4" spans="1:25" ht="15" customHeight="1" x14ac:dyDescent="0.3">
      <c r="B4" s="792" t="s">
        <v>212</v>
      </c>
      <c r="C4" s="769" t="s">
        <v>213</v>
      </c>
      <c r="D4" s="769"/>
      <c r="E4" s="769"/>
      <c r="F4" s="769" t="s">
        <v>214</v>
      </c>
      <c r="G4" s="769"/>
      <c r="H4" s="769"/>
      <c r="I4" s="783" t="s">
        <v>215</v>
      </c>
      <c r="J4" s="783"/>
      <c r="K4" s="783"/>
      <c r="U4"/>
      <c r="V4" s="35" t="s">
        <v>197</v>
      </c>
      <c r="Y4" s="25"/>
    </row>
    <row r="5" spans="1:25" x14ac:dyDescent="0.3">
      <c r="B5" s="819"/>
      <c r="C5" s="242" t="s">
        <v>217</v>
      </c>
      <c r="D5" s="242" t="s">
        <v>7</v>
      </c>
      <c r="E5" s="242" t="s">
        <v>218</v>
      </c>
      <c r="F5" s="242" t="s">
        <v>217</v>
      </c>
      <c r="G5" s="242" t="s">
        <v>7</v>
      </c>
      <c r="H5" s="242" t="s">
        <v>218</v>
      </c>
      <c r="I5" s="243" t="s">
        <v>217</v>
      </c>
      <c r="J5" s="243" t="s">
        <v>7</v>
      </c>
      <c r="K5" s="243" t="s">
        <v>218</v>
      </c>
      <c r="U5"/>
      <c r="V5" s="35" t="s">
        <v>198</v>
      </c>
      <c r="Y5" s="25"/>
    </row>
    <row r="6" spans="1:25" x14ac:dyDescent="0.3">
      <c r="B6" s="449" t="s">
        <v>295</v>
      </c>
      <c r="C6" s="437">
        <v>0.98633999999999999</v>
      </c>
      <c r="D6" s="437">
        <v>0.43036000000000002</v>
      </c>
      <c r="E6" s="449">
        <f t="shared" ref="E6:E9" si="0">C6+D6</f>
        <v>1.4167000000000001</v>
      </c>
      <c r="F6" s="449">
        <v>1.0445499999999999</v>
      </c>
      <c r="G6" s="449">
        <v>0.49484</v>
      </c>
      <c r="H6" s="449">
        <f t="shared" ref="H6:H9" si="1">F6+G6</f>
        <v>1.5393899999999998</v>
      </c>
      <c r="I6" s="476">
        <f t="shared" ref="I6:J9" si="2">((C6*$C$26)+(F6*$D$26))/($D$26+$C$26)</f>
        <v>1.0445499999999999</v>
      </c>
      <c r="J6" s="476">
        <f t="shared" si="2"/>
        <v>0.49484</v>
      </c>
      <c r="K6" s="505">
        <f t="shared" ref="K6:K9" si="3">I6+J6</f>
        <v>1.5393899999999998</v>
      </c>
      <c r="U6"/>
      <c r="V6" s="64" t="s">
        <v>199</v>
      </c>
      <c r="Y6"/>
    </row>
    <row r="7" spans="1:25" customFormat="1" x14ac:dyDescent="0.3">
      <c r="B7" s="449" t="s">
        <v>296</v>
      </c>
      <c r="C7" s="437">
        <v>0.64807999999999999</v>
      </c>
      <c r="D7" s="437">
        <v>0.26735000000000003</v>
      </c>
      <c r="E7" s="449">
        <f t="shared" si="0"/>
        <v>0.91542999999999997</v>
      </c>
      <c r="F7" s="449">
        <v>0.70716000000000001</v>
      </c>
      <c r="G7" s="449">
        <v>0.31504000000000004</v>
      </c>
      <c r="H7" s="449">
        <f t="shared" si="1"/>
        <v>1.0222</v>
      </c>
      <c r="I7" s="476">
        <f t="shared" si="2"/>
        <v>0.70716000000000001</v>
      </c>
      <c r="J7" s="476">
        <f t="shared" si="2"/>
        <v>0.31504000000000004</v>
      </c>
      <c r="K7" s="505">
        <f t="shared" si="3"/>
        <v>1.0222</v>
      </c>
      <c r="M7" s="27"/>
      <c r="N7" s="27"/>
      <c r="O7" s="27"/>
      <c r="P7" s="27"/>
      <c r="Q7" s="27"/>
      <c r="R7" s="27"/>
      <c r="S7" s="27"/>
      <c r="T7" s="27"/>
      <c r="V7" s="64" t="s">
        <v>200</v>
      </c>
      <c r="W7" s="27"/>
      <c r="X7" s="27"/>
    </row>
    <row r="8" spans="1:25" customFormat="1" x14ac:dyDescent="0.3">
      <c r="B8" s="449" t="s">
        <v>16</v>
      </c>
      <c r="C8" s="437">
        <v>0.30981999999999998</v>
      </c>
      <c r="D8" s="437">
        <v>0.26735000000000003</v>
      </c>
      <c r="E8" s="449">
        <f t="shared" si="0"/>
        <v>0.57716999999999996</v>
      </c>
      <c r="F8" s="449">
        <v>0.36975999999999998</v>
      </c>
      <c r="G8" s="449">
        <v>0.31504000000000004</v>
      </c>
      <c r="H8" s="449">
        <f t="shared" si="1"/>
        <v>0.68480000000000008</v>
      </c>
      <c r="I8" s="476">
        <f t="shared" si="2"/>
        <v>0.36975999999999998</v>
      </c>
      <c r="J8" s="476">
        <f t="shared" si="2"/>
        <v>0.31504000000000004</v>
      </c>
      <c r="K8" s="505">
        <f t="shared" si="3"/>
        <v>0.68480000000000008</v>
      </c>
      <c r="O8" s="27"/>
      <c r="P8" s="27"/>
      <c r="Q8" s="27"/>
      <c r="R8" s="27"/>
      <c r="S8" s="27"/>
      <c r="T8" s="27"/>
      <c r="V8" s="35" t="s">
        <v>201</v>
      </c>
      <c r="W8" s="27"/>
      <c r="X8" s="27"/>
    </row>
    <row r="9" spans="1:25" customFormat="1" x14ac:dyDescent="0.3">
      <c r="B9" s="506" t="s">
        <v>297</v>
      </c>
      <c r="C9" s="475">
        <v>1.1506162773328076E-4</v>
      </c>
      <c r="D9" s="475">
        <v>-2.0731505487585774E-3</v>
      </c>
      <c r="E9" s="449">
        <f t="shared" si="0"/>
        <v>-1.9580889210252966E-3</v>
      </c>
      <c r="F9" s="475">
        <v>1.2448550414992767E-4</v>
      </c>
      <c r="G9" s="475">
        <v>-1.27319E-3</v>
      </c>
      <c r="H9" s="475">
        <f t="shared" si="1"/>
        <v>-1.1487044958500723E-3</v>
      </c>
      <c r="I9" s="449">
        <f t="shared" si="2"/>
        <v>1.2448550414992767E-4</v>
      </c>
      <c r="J9" s="449">
        <f t="shared" si="2"/>
        <v>-1.27319E-3</v>
      </c>
      <c r="K9" s="475">
        <f t="shared" si="3"/>
        <v>-1.1487044958500723E-3</v>
      </c>
      <c r="O9" s="27"/>
      <c r="P9" s="27"/>
      <c r="Q9" s="27"/>
      <c r="V9" s="35" t="s">
        <v>202</v>
      </c>
    </row>
    <row r="10" spans="1:25" customFormat="1" x14ac:dyDescent="0.3">
      <c r="B10" s="258"/>
      <c r="C10" s="259"/>
      <c r="D10" s="259"/>
      <c r="E10" s="259"/>
      <c r="F10" s="259"/>
      <c r="G10" s="259"/>
      <c r="H10" s="259"/>
      <c r="I10" s="260"/>
      <c r="J10" s="260"/>
      <c r="K10" s="259"/>
      <c r="O10" s="27"/>
      <c r="P10" s="27"/>
      <c r="Q10" s="27"/>
      <c r="V10" s="35" t="s">
        <v>203</v>
      </c>
    </row>
    <row r="11" spans="1:25" customFormat="1" x14ac:dyDescent="0.3">
      <c r="B11" s="258"/>
      <c r="C11" s="259"/>
      <c r="D11" s="259"/>
      <c r="E11" s="259"/>
      <c r="F11" s="259"/>
      <c r="G11" s="259"/>
      <c r="H11" s="259"/>
      <c r="I11" s="260"/>
      <c r="J11" s="260"/>
      <c r="K11" s="259"/>
      <c r="O11" s="27"/>
      <c r="P11" s="27"/>
      <c r="Q11" s="27"/>
      <c r="V11" s="35" t="s">
        <v>204</v>
      </c>
    </row>
    <row r="12" spans="1:25" customFormat="1" x14ac:dyDescent="0.3">
      <c r="B12" s="770" t="s">
        <v>226</v>
      </c>
      <c r="C12" s="771"/>
      <c r="D12" s="259"/>
      <c r="E12" s="259"/>
      <c r="F12" s="259"/>
      <c r="G12" s="259"/>
      <c r="H12" s="788" t="s">
        <v>298</v>
      </c>
      <c r="I12" s="789"/>
      <c r="J12" s="507" t="s">
        <v>331</v>
      </c>
      <c r="K12" s="507" t="s">
        <v>228</v>
      </c>
    </row>
    <row r="13" spans="1:25" customFormat="1" x14ac:dyDescent="0.3">
      <c r="B13" s="441" t="s">
        <v>229</v>
      </c>
      <c r="C13" s="441" t="s">
        <v>230</v>
      </c>
      <c r="D13" s="259"/>
      <c r="E13" s="259"/>
      <c r="F13" s="259"/>
      <c r="G13" s="259"/>
      <c r="H13" s="259"/>
      <c r="I13" s="260"/>
      <c r="J13" s="442">
        <f>K19</f>
        <v>0.65592652307476096</v>
      </c>
      <c r="K13" s="508">
        <f>SUM(D30:D32)*J13</f>
        <v>119.3786271996065</v>
      </c>
    </row>
    <row r="14" spans="1:25" customFormat="1" x14ac:dyDescent="0.3">
      <c r="B14" s="438" t="s">
        <v>196</v>
      </c>
      <c r="C14" s="444">
        <f>J57</f>
        <v>139.26999999999998</v>
      </c>
      <c r="D14" s="259"/>
      <c r="E14" s="259"/>
      <c r="F14" s="259"/>
      <c r="G14" s="259"/>
      <c r="H14" s="259"/>
      <c r="I14" s="260"/>
      <c r="J14" s="509">
        <f>K20</f>
        <v>0.39355593539792599</v>
      </c>
      <c r="K14" s="508">
        <f>SUM(D30:D32)*J14</f>
        <v>71.627180242422526</v>
      </c>
    </row>
    <row r="15" spans="1:25" customFormat="1" x14ac:dyDescent="0.3">
      <c r="B15" s="258"/>
      <c r="C15" s="259"/>
      <c r="D15" s="259"/>
      <c r="E15" s="259"/>
      <c r="F15" s="259"/>
      <c r="G15" s="259"/>
      <c r="H15" s="259"/>
      <c r="I15" s="260"/>
      <c r="J15" s="509">
        <f>K21</f>
        <v>0.131185347721092</v>
      </c>
      <c r="K15" s="508">
        <f>SUM(D30:D32)*J15</f>
        <v>23.875733285238745</v>
      </c>
    </row>
    <row r="16" spans="1:25" customFormat="1" x14ac:dyDescent="0.3">
      <c r="B16" s="446"/>
      <c r="C16" s="447" t="s">
        <v>170</v>
      </c>
      <c r="D16" s="259"/>
      <c r="E16" s="259"/>
      <c r="F16" s="259"/>
      <c r="G16" s="259"/>
      <c r="H16" s="259"/>
      <c r="I16" s="260"/>
      <c r="J16" s="260"/>
      <c r="K16" s="259"/>
    </row>
    <row r="17" spans="1:25" customFormat="1" ht="27.6" x14ac:dyDescent="0.3">
      <c r="B17" s="446" t="s">
        <v>190</v>
      </c>
      <c r="C17" s="444">
        <f>$C$14*(VLOOKUP($B$14,B110:G118,3,0))</f>
        <v>55.386561775793957</v>
      </c>
      <c r="D17" s="259"/>
      <c r="E17" s="259"/>
      <c r="F17" s="259"/>
      <c r="G17" s="259"/>
      <c r="H17" s="820" t="s">
        <v>212</v>
      </c>
      <c r="I17" s="510" t="str">
        <f>C4</f>
        <v xml:space="preserve">TARIFA ANTIGA </v>
      </c>
      <c r="J17" s="510" t="str">
        <f>F4</f>
        <v>TARIFA NOVA</v>
      </c>
      <c r="K17" s="510" t="s">
        <v>215</v>
      </c>
    </row>
    <row r="18" spans="1:25" customFormat="1" x14ac:dyDescent="0.3">
      <c r="B18" s="446" t="s">
        <v>192</v>
      </c>
      <c r="C18" s="444">
        <f>$C$14*(VLOOKUP($B$14,B110:G118,5,0))</f>
        <v>35.18760833597284</v>
      </c>
      <c r="D18" s="259"/>
      <c r="E18" s="259"/>
      <c r="F18" s="259"/>
      <c r="G18" s="259"/>
      <c r="H18" s="820"/>
      <c r="I18" s="448"/>
      <c r="J18" s="448"/>
      <c r="K18" s="448"/>
    </row>
    <row r="19" spans="1:25" customFormat="1" x14ac:dyDescent="0.3">
      <c r="B19" s="446" t="s">
        <v>191</v>
      </c>
      <c r="C19" s="444">
        <f>$C$14*(VLOOKUP($B$14,B110:G118,4,0))</f>
        <v>11.855744097339853</v>
      </c>
      <c r="D19" s="259"/>
      <c r="E19" s="259"/>
      <c r="F19" s="259"/>
      <c r="G19" s="259"/>
      <c r="H19" s="449" t="s">
        <v>295</v>
      </c>
      <c r="I19" s="449">
        <v>0.65238814804659107</v>
      </c>
      <c r="J19" s="449">
        <v>0.65592652307476096</v>
      </c>
      <c r="K19" s="449">
        <f>((I19*$C$26)+(J19*$D$26))/($D$26+$C$26)</f>
        <v>0.65592652307476096</v>
      </c>
    </row>
    <row r="20" spans="1:25" x14ac:dyDescent="0.3">
      <c r="B20" s="446" t="s">
        <v>235</v>
      </c>
      <c r="C20" s="444">
        <f>$C$14*(VLOOKUP($B$14,B110:G118,6,0))</f>
        <v>36.840085790893326</v>
      </c>
      <c r="G20" s="25"/>
      <c r="H20" s="449" t="s">
        <v>296</v>
      </c>
      <c r="I20" s="449">
        <v>0.39143291026475702</v>
      </c>
      <c r="J20" s="449">
        <v>0.39355593539792599</v>
      </c>
      <c r="K20" s="449">
        <f>((I20*$C$26)+(J20*$D$26))/($D$26+$C$26)</f>
        <v>0.39355593539792599</v>
      </c>
      <c r="O20" s="29"/>
      <c r="U20" s="25"/>
      <c r="V20" s="25"/>
      <c r="W20" s="25"/>
      <c r="X20" s="25"/>
      <c r="Y20" s="25"/>
    </row>
    <row r="21" spans="1:25" x14ac:dyDescent="0.3">
      <c r="B21" s="446" t="s">
        <v>236</v>
      </c>
      <c r="C21" s="444">
        <f>K57</f>
        <v>37.592921393974947</v>
      </c>
      <c r="G21" s="25"/>
      <c r="H21" s="449" t="s">
        <v>16</v>
      </c>
      <c r="I21" s="449">
        <v>0.130477672482924</v>
      </c>
      <c r="J21" s="449">
        <v>0.131185347721092</v>
      </c>
      <c r="K21" s="449">
        <f>((I21*$C$26)+(J21*$D$26))/($D$26+$C$26)</f>
        <v>0.131185347721092</v>
      </c>
      <c r="M21" s="13" t="s">
        <v>238</v>
      </c>
      <c r="N21" s="13" t="s">
        <v>239</v>
      </c>
      <c r="O21" s="29"/>
      <c r="U21" s="25"/>
      <c r="V21" s="25"/>
      <c r="W21" s="25"/>
      <c r="X21" s="25"/>
      <c r="Y21" s="25"/>
    </row>
    <row r="22" spans="1:25" x14ac:dyDescent="0.3">
      <c r="A22" s="25"/>
      <c r="B22" s="447" t="s">
        <v>237</v>
      </c>
      <c r="C22" s="450">
        <f>SUM(C17:C21)</f>
        <v>176.86292139397494</v>
      </c>
      <c r="D22" s="25"/>
      <c r="E22" s="25"/>
      <c r="F22" s="25"/>
      <c r="G22" s="25"/>
      <c r="H22" s="25"/>
      <c r="I22" s="25"/>
      <c r="L22" s="29"/>
      <c r="M22" s="21" t="s">
        <v>74</v>
      </c>
      <c r="N22" s="246">
        <v>0</v>
      </c>
    </row>
    <row r="23" spans="1:25" x14ac:dyDescent="0.3">
      <c r="A23" s="25"/>
      <c r="B23" s="25"/>
      <c r="C23" s="25"/>
      <c r="D23" s="25"/>
      <c r="E23" s="25"/>
      <c r="F23" s="25"/>
      <c r="G23" s="25"/>
      <c r="H23" s="25"/>
      <c r="M23" s="124" t="s">
        <v>240</v>
      </c>
      <c r="N23" s="125">
        <v>1.8849999999999999E-2</v>
      </c>
    </row>
    <row r="24" spans="1:25" x14ac:dyDescent="0.3">
      <c r="A24" s="25"/>
      <c r="B24" s="25"/>
      <c r="C24" s="25"/>
      <c r="D24" s="25"/>
      <c r="E24" s="25"/>
      <c r="F24" s="25"/>
      <c r="H24" s="231">
        <f>EOMONTH(B26,0)+1</f>
        <v>46143</v>
      </c>
      <c r="I24" s="21" t="s">
        <v>74</v>
      </c>
      <c r="J24" s="244" t="s">
        <v>74</v>
      </c>
      <c r="M24" s="9" t="s">
        <v>241</v>
      </c>
      <c r="N24" s="245">
        <v>4.4630000000000003E-2</v>
      </c>
    </row>
    <row r="25" spans="1:25" ht="27.6" x14ac:dyDescent="0.3">
      <c r="B25" s="511" t="s">
        <v>219</v>
      </c>
      <c r="C25" s="511" t="s">
        <v>434</v>
      </c>
      <c r="D25" s="511" t="s">
        <v>221</v>
      </c>
      <c r="E25" s="511" t="s">
        <v>222</v>
      </c>
      <c r="F25" s="512" t="s">
        <v>223</v>
      </c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  <c r="S25" s="263"/>
    </row>
    <row r="26" spans="1:25" x14ac:dyDescent="0.3">
      <c r="B26" s="513">
        <f>'B1C ICMS'!B26</f>
        <v>46125</v>
      </c>
      <c r="C26" s="514">
        <f>IF((F2-B26-1)&lt;0,0,(F2-B26-1))</f>
        <v>0</v>
      </c>
      <c r="D26" s="514">
        <f>E26-F2+1</f>
        <v>133</v>
      </c>
      <c r="E26" s="513">
        <f>'B1C ICMS'!E26</f>
        <v>46155</v>
      </c>
      <c r="F26" s="515">
        <f>E26</f>
        <v>46155</v>
      </c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61" t="s">
        <v>245</v>
      </c>
      <c r="N26" s="262">
        <v>0.14199999999999999</v>
      </c>
    </row>
    <row r="27" spans="1:25" s="25" customFormat="1" x14ac:dyDescent="0.3">
      <c r="F27" s="110"/>
      <c r="G27" s="110"/>
      <c r="P27" s="183"/>
    </row>
    <row r="28" spans="1:25" ht="42" customHeight="1" x14ac:dyDescent="0.3">
      <c r="B28" s="160" t="s">
        <v>53</v>
      </c>
      <c r="C28" s="160" t="s">
        <v>248</v>
      </c>
      <c r="D28" s="160" t="s">
        <v>249</v>
      </c>
      <c r="E28" s="161" t="s">
        <v>250</v>
      </c>
      <c r="F28" s="161" t="s">
        <v>251</v>
      </c>
      <c r="G28" s="161" t="s">
        <v>252</v>
      </c>
      <c r="H28" s="161" t="s">
        <v>253</v>
      </c>
      <c r="I28" s="161" t="s">
        <v>254</v>
      </c>
      <c r="J28" s="161" t="s">
        <v>255</v>
      </c>
      <c r="K28" s="162" t="s">
        <v>256</v>
      </c>
      <c r="L28" s="160" t="s">
        <v>257</v>
      </c>
      <c r="M28" s="161" t="s">
        <v>258</v>
      </c>
      <c r="N28" s="161" t="s">
        <v>259</v>
      </c>
      <c r="O28" s="161" t="s">
        <v>260</v>
      </c>
    </row>
    <row r="29" spans="1:25" x14ac:dyDescent="0.3"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46"/>
      <c r="M29" s="163"/>
      <c r="N29" s="163"/>
      <c r="O29" s="163"/>
      <c r="P29" s="25"/>
      <c r="Q29" s="25"/>
      <c r="R29" s="25"/>
      <c r="S29" s="25"/>
      <c r="T29" s="25"/>
      <c r="U29" s="25"/>
      <c r="V29" s="25"/>
    </row>
    <row r="30" spans="1:25" x14ac:dyDescent="0.3">
      <c r="B30" s="163" t="s">
        <v>300</v>
      </c>
      <c r="C30" s="164" t="s">
        <v>262</v>
      </c>
      <c r="D30" s="228">
        <v>12</v>
      </c>
      <c r="E30" s="171">
        <f>IFERROR((ROUND(D30*K30,2)+ROUND(G30,2)+ROUND(J30,2))/ROUND(D30,4),0)</f>
        <v>1.3266666666666664</v>
      </c>
      <c r="F30" s="169">
        <f>ROUND(D30*E30,2)</f>
        <v>15.92</v>
      </c>
      <c r="G30" s="169">
        <f>((D30*K30)/(1-$N$30-$N$31))*($N$30+$N$31)</f>
        <v>0.51819600124960929</v>
      </c>
      <c r="H30" s="176">
        <f>ROUND((D30*K30)/(1-$N$30-$N$31)/(1-$I$30),8)</f>
        <v>15.918043900000001</v>
      </c>
      <c r="I30" s="237">
        <v>0.18</v>
      </c>
      <c r="J30" s="176">
        <f>H30*$I$30</f>
        <v>2.8652479020000001</v>
      </c>
      <c r="K30" s="267">
        <f>I6</f>
        <v>1.0445499999999999</v>
      </c>
      <c r="L30" s="95" t="s">
        <v>263</v>
      </c>
      <c r="M30" s="169">
        <f>D72</f>
        <v>145.02759554305945</v>
      </c>
      <c r="N30" s="237">
        <f>'B1C ICMS'!N31</f>
        <v>7.1000000000000004E-3</v>
      </c>
      <c r="O30" s="178">
        <f>ROUND(M30*N30,2)</f>
        <v>1.03</v>
      </c>
      <c r="P30" s="25"/>
      <c r="Q30" s="25"/>
      <c r="R30" s="25"/>
      <c r="S30" s="25"/>
      <c r="T30" s="25"/>
      <c r="U30" s="25"/>
      <c r="V30" s="25"/>
    </row>
    <row r="31" spans="1:25" x14ac:dyDescent="0.3">
      <c r="B31" s="163" t="s">
        <v>301</v>
      </c>
      <c r="C31" s="164" t="s">
        <v>262</v>
      </c>
      <c r="D31" s="228">
        <v>13</v>
      </c>
      <c r="E31" s="171">
        <f t="shared" ref="E31:E35" si="4">IFERROR((ROUND(D31*K31,2)+ROUND(G31,2)+ROUND(J31,2))/ROUND(D31,4),0)</f>
        <v>0.89769230769230768</v>
      </c>
      <c r="F31" s="169">
        <f t="shared" ref="F31:F39" si="5">ROUND(D31*E31,2)</f>
        <v>11.67</v>
      </c>
      <c r="G31" s="169">
        <f>((D31*K31)/(1-$N$30-$N$31))*($N$30+$N$31)</f>
        <v>0.3800533958138082</v>
      </c>
      <c r="H31" s="176">
        <f>ROUND((D31*K31)/(1-$N$30-$N$31)/(1-$I$30),8)</f>
        <v>11.67455292</v>
      </c>
      <c r="I31" s="236"/>
      <c r="J31" s="176">
        <f t="shared" ref="J31:J39" si="6">H31*$I$30</f>
        <v>2.1014195255999999</v>
      </c>
      <c r="K31" s="267">
        <f>I7</f>
        <v>0.70716000000000001</v>
      </c>
      <c r="L31" s="95" t="s">
        <v>265</v>
      </c>
      <c r="M31" s="169">
        <f>M30</f>
        <v>145.02759554305945</v>
      </c>
      <c r="N31" s="237">
        <f>'B1C ICMS'!N32</f>
        <v>3.2599999999999997E-2</v>
      </c>
      <c r="O31" s="178">
        <f>ROUND(M31*N31,2)</f>
        <v>4.7300000000000004</v>
      </c>
      <c r="P31" s="25"/>
      <c r="Q31" s="25"/>
      <c r="R31" s="25"/>
      <c r="S31" s="25"/>
      <c r="T31" s="25"/>
      <c r="U31" s="25"/>
      <c r="V31" s="25"/>
    </row>
    <row r="32" spans="1:25" x14ac:dyDescent="0.3">
      <c r="B32" s="163" t="s">
        <v>302</v>
      </c>
      <c r="C32" s="164" t="s">
        <v>262</v>
      </c>
      <c r="D32" s="228">
        <v>157</v>
      </c>
      <c r="E32" s="171">
        <f>IFERROR((ROUND(D32*K32,2)+ROUND(G32,2)+ROUND(J32,2))/ROUND(D32,4),0)</f>
        <v>0.46955414012738855</v>
      </c>
      <c r="F32" s="169">
        <f t="shared" si="5"/>
        <v>73.72</v>
      </c>
      <c r="G32" s="169">
        <f>((D32*K32)/(1-$N$30-$N$31))*($N$30+$N$31)</f>
        <v>2.3999553306258457</v>
      </c>
      <c r="H32" s="176">
        <f>ROUND((D32*K32)/(1-$N$30-$N$31)/(1-$I$30),8)</f>
        <v>73.722286990000001</v>
      </c>
      <c r="I32" s="236"/>
      <c r="J32" s="176">
        <f t="shared" si="6"/>
        <v>13.2700116582</v>
      </c>
      <c r="K32" s="267">
        <f>I8</f>
        <v>0.36975999999999998</v>
      </c>
      <c r="L32" s="205"/>
      <c r="M32" s="206"/>
      <c r="N32" s="207"/>
      <c r="O32" s="208"/>
      <c r="P32" s="25"/>
      <c r="Q32" s="25"/>
      <c r="R32" s="25"/>
      <c r="S32" s="25"/>
      <c r="T32" s="25"/>
      <c r="U32" s="25"/>
      <c r="V32" s="25"/>
    </row>
    <row r="33" spans="2:22" x14ac:dyDescent="0.3">
      <c r="B33" s="163" t="s">
        <v>303</v>
      </c>
      <c r="C33" s="164" t="s">
        <v>262</v>
      </c>
      <c r="D33" s="184">
        <f>D30</f>
        <v>12</v>
      </c>
      <c r="E33" s="171">
        <f t="shared" si="4"/>
        <v>0.62916666666666676</v>
      </c>
      <c r="F33" s="169">
        <f t="shared" si="5"/>
        <v>7.55</v>
      </c>
      <c r="G33" s="169">
        <f>((D33*K33)/(1-$N$30-$N$31))*($N$30+$N$31)</f>
        <v>0.24548763511402688</v>
      </c>
      <c r="H33" s="176">
        <f>(D33*K33)/(1-$N$30-$N$31)/(1-$I$30)</f>
        <v>7.5409361403829598</v>
      </c>
      <c r="I33" s="163"/>
      <c r="J33" s="176">
        <f t="shared" si="6"/>
        <v>1.3573685052689326</v>
      </c>
      <c r="K33" s="267">
        <f>J6</f>
        <v>0.49484</v>
      </c>
      <c r="L33" s="205"/>
      <c r="M33" s="206"/>
      <c r="N33" s="207"/>
      <c r="O33" s="208"/>
      <c r="P33" s="25"/>
      <c r="Q33" s="25"/>
      <c r="R33" s="25"/>
      <c r="S33" s="25"/>
      <c r="T33" s="25"/>
      <c r="U33" s="25"/>
      <c r="V33" s="25"/>
    </row>
    <row r="34" spans="2:22" x14ac:dyDescent="0.3">
      <c r="B34" s="163" t="s">
        <v>304</v>
      </c>
      <c r="C34" s="164" t="s">
        <v>262</v>
      </c>
      <c r="D34" s="184">
        <f>D31</f>
        <v>13</v>
      </c>
      <c r="E34" s="171">
        <f t="shared" si="4"/>
        <v>0.40076923076923071</v>
      </c>
      <c r="F34" s="169">
        <f t="shared" si="5"/>
        <v>5.21</v>
      </c>
      <c r="G34" s="169">
        <f t="shared" ref="G34:G35" si="7">((D34*K34)/(1-$N$30-$N$31))*($N$30+$N$31)</f>
        <v>0.16931390607101945</v>
      </c>
      <c r="H34" s="176">
        <f t="shared" ref="H34:H35" si="8">(D34*K34)/(1-$N$30-$N$31)/(1-$I$30)</f>
        <v>5.2010169586231942</v>
      </c>
      <c r="I34" s="163"/>
      <c r="J34" s="176">
        <f t="shared" si="6"/>
        <v>0.93618305255217493</v>
      </c>
      <c r="K34" s="267">
        <f>J7</f>
        <v>0.31504000000000004</v>
      </c>
      <c r="L34" s="205"/>
      <c r="M34" s="206"/>
      <c r="N34" s="207"/>
      <c r="O34" s="208"/>
      <c r="P34" s="25"/>
      <c r="Q34" s="25"/>
      <c r="R34" s="25"/>
      <c r="S34" s="25"/>
      <c r="T34" s="25"/>
      <c r="U34" s="25"/>
    </row>
    <row r="35" spans="2:22" x14ac:dyDescent="0.3">
      <c r="B35" s="163" t="s">
        <v>305</v>
      </c>
      <c r="C35" s="164" t="s">
        <v>262</v>
      </c>
      <c r="D35" s="184">
        <f>D32</f>
        <v>157</v>
      </c>
      <c r="E35" s="171">
        <f t="shared" si="4"/>
        <v>0.40006369426751592</v>
      </c>
      <c r="F35" s="169">
        <f t="shared" si="5"/>
        <v>62.81</v>
      </c>
      <c r="G35" s="169">
        <f t="shared" si="7"/>
        <v>2.0447910194730818</v>
      </c>
      <c r="H35" s="176">
        <f t="shared" si="8"/>
        <v>62.812281731064736</v>
      </c>
      <c r="I35" s="163"/>
      <c r="J35" s="176">
        <f t="shared" si="6"/>
        <v>11.306210711591651</v>
      </c>
      <c r="K35" s="267">
        <f>J8</f>
        <v>0.31504000000000004</v>
      </c>
      <c r="L35" s="205"/>
      <c r="M35" s="206"/>
      <c r="N35" s="207"/>
      <c r="O35" s="208"/>
      <c r="P35" s="25"/>
      <c r="Q35" s="25"/>
      <c r="R35" s="25"/>
      <c r="S35" s="25"/>
      <c r="T35" s="25"/>
      <c r="U35" s="25"/>
    </row>
    <row r="36" spans="2:22" x14ac:dyDescent="0.3">
      <c r="B36" s="163" t="s">
        <v>268</v>
      </c>
      <c r="C36" s="164" t="s">
        <v>262</v>
      </c>
      <c r="D36" s="184">
        <f>IF($I$24=M23,(($D$30+$D$31+$D$32)*($I$26)/($I$26+$J$26)),0)+IF($J$24=M23,(($D$30+$D$31+$D$32)*($J$26)/($I$26+$J$26)),0)</f>
        <v>0</v>
      </c>
      <c r="E36" s="171">
        <f>K36/(1-$N$30-$N$31)/(1-$I$30)</f>
        <v>2.3938149409610303E-2</v>
      </c>
      <c r="F36" s="169">
        <f t="shared" si="5"/>
        <v>0</v>
      </c>
      <c r="G36" s="169">
        <f>((D36*K36)/(1-$N$30-$N$31))*($N$30+$N$31)</f>
        <v>0</v>
      </c>
      <c r="H36" s="176">
        <f>(D36*K36)/(1-$N$30-$N$31)/(1-$I$30)</f>
        <v>0</v>
      </c>
      <c r="I36" s="163"/>
      <c r="J36" s="176">
        <f t="shared" si="6"/>
        <v>0</v>
      </c>
      <c r="K36" s="171">
        <f>N23</f>
        <v>1.8849999999999999E-2</v>
      </c>
      <c r="L36" s="63"/>
      <c r="M36" s="166"/>
      <c r="N36" s="166"/>
      <c r="O36" s="166"/>
      <c r="P36" s="25"/>
      <c r="S36" s="25"/>
      <c r="T36" s="25"/>
      <c r="U36" s="25"/>
    </row>
    <row r="37" spans="2:22" x14ac:dyDescent="0.3">
      <c r="B37" s="163" t="s">
        <v>269</v>
      </c>
      <c r="C37" s="164" t="s">
        <v>262</v>
      </c>
      <c r="D37" s="184">
        <f>IF($I$24=M24,(($D$30+$D$31+$D$32)*($I$26)/($I$26+$J$26)),0)+IF($J$24=M24,(($D$30+$D$31+$D$32)*($J$26)/($I$26+$J$26)),0)</f>
        <v>0</v>
      </c>
      <c r="E37" s="171">
        <f>K37/(1-$N$30-$N$31)/(1-$I$30)</f>
        <v>5.6676902289172847E-2</v>
      </c>
      <c r="F37" s="169">
        <f t="shared" si="5"/>
        <v>0</v>
      </c>
      <c r="G37" s="169">
        <f>((D37*K37)/(1-$N$30-$N$31))*($N$30+$N$31)</f>
        <v>0</v>
      </c>
      <c r="H37" s="176">
        <f>(D37*K37)/(1-$N$30-$N$31)/(1-$I$30)</f>
        <v>0</v>
      </c>
      <c r="I37" s="163"/>
      <c r="J37" s="176">
        <f t="shared" si="6"/>
        <v>0</v>
      </c>
      <c r="K37" s="171">
        <f>N24</f>
        <v>4.4630000000000003E-2</v>
      </c>
      <c r="O37" s="46"/>
      <c r="P37" s="25"/>
      <c r="S37" s="41"/>
      <c r="T37" s="25"/>
      <c r="U37" s="25"/>
    </row>
    <row r="38" spans="2:22" x14ac:dyDescent="0.3">
      <c r="B38" s="163" t="s">
        <v>270</v>
      </c>
      <c r="C38" s="164" t="s">
        <v>262</v>
      </c>
      <c r="D38" s="184">
        <f>IF($I$24=M25,(($D$30+$D$31+$D$32)*($I$26)/($I$26+$J$26)),0)+IF($J$24=M25,(($D$30+$D$31+$D$32)*($J$26)/($I$26+$J$26)),0)</f>
        <v>0</v>
      </c>
      <c r="E38" s="171">
        <f>K38/(1-$N$30-$N$31)/(1-$I$30)</f>
        <v>0.10003225618010632</v>
      </c>
      <c r="F38" s="169">
        <f t="shared" si="5"/>
        <v>0</v>
      </c>
      <c r="G38" s="169">
        <f>((D38*K38)/(1-$N$30-$N$31))*($N$30+$N$31)</f>
        <v>0</v>
      </c>
      <c r="H38" s="176">
        <f>(D38*K38)/(1-$N$30-$N$31)/(1-$I$30)</f>
        <v>0</v>
      </c>
      <c r="I38" s="163"/>
      <c r="J38" s="176">
        <f t="shared" si="6"/>
        <v>0</v>
      </c>
      <c r="K38" s="171">
        <f>N25</f>
        <v>7.8770000000000007E-2</v>
      </c>
      <c r="O38" s="46"/>
      <c r="P38" s="41"/>
      <c r="S38" s="41"/>
      <c r="T38" s="25"/>
      <c r="U38" s="25"/>
    </row>
    <row r="39" spans="2:22" x14ac:dyDescent="0.3">
      <c r="B39" s="163" t="s">
        <v>285</v>
      </c>
      <c r="C39" s="164" t="s">
        <v>262</v>
      </c>
      <c r="D39" s="184">
        <f>IF($I$24=M26,(($D$30+$D$31+$D$32)*($I$26)/($I$26+$J$26)),0)+IF($J$24=M26,(($D$30+$D$31+$D$32)*($J$26)/($I$26+$J$26)),0)</f>
        <v>0</v>
      </c>
      <c r="E39" s="171">
        <f>K39/(1-$N$30-$N$31)/(1-$I$30)</f>
        <v>0.18032982579122883</v>
      </c>
      <c r="F39" s="169">
        <f t="shared" si="5"/>
        <v>0</v>
      </c>
      <c r="G39" s="169">
        <f>((D39*K39)/(1-$N$30-$N$31))*($N$30+$N$31)</f>
        <v>0</v>
      </c>
      <c r="H39" s="176">
        <f>(D39*K39)/(1-$N$30-$N$31)/(1-$I$30)</f>
        <v>0</v>
      </c>
      <c r="I39" s="163"/>
      <c r="J39" s="176">
        <f t="shared" si="6"/>
        <v>0</v>
      </c>
      <c r="K39" s="171">
        <f>N26</f>
        <v>0.14199999999999999</v>
      </c>
      <c r="O39" s="46"/>
      <c r="P39" s="25"/>
      <c r="S39" s="25"/>
      <c r="T39" s="25"/>
      <c r="U39" s="25"/>
    </row>
    <row r="40" spans="2:22" x14ac:dyDescent="0.3">
      <c r="B40" s="343" t="s">
        <v>306</v>
      </c>
      <c r="C40" s="343"/>
      <c r="D40" s="344"/>
      <c r="E40" s="343"/>
      <c r="F40" s="345"/>
      <c r="G40" s="163"/>
      <c r="H40" s="163"/>
      <c r="I40" s="163"/>
      <c r="J40" s="163"/>
      <c r="K40" s="163"/>
      <c r="O40" s="46"/>
      <c r="P40" s="25"/>
      <c r="S40" s="25"/>
      <c r="T40" s="25"/>
      <c r="U40" s="25"/>
    </row>
    <row r="41" spans="2:22" x14ac:dyDescent="0.3">
      <c r="B41" s="343" t="s">
        <v>307</v>
      </c>
      <c r="C41" s="343"/>
      <c r="D41" s="344"/>
      <c r="E41" s="343"/>
      <c r="F41" s="345">
        <v>0</v>
      </c>
      <c r="G41" s="163"/>
      <c r="H41" s="163"/>
      <c r="I41" s="163"/>
      <c r="J41" s="163"/>
      <c r="K41" s="163"/>
      <c r="O41" s="46"/>
      <c r="P41" s="25"/>
      <c r="S41" s="25"/>
      <c r="T41" s="25"/>
      <c r="U41" s="25"/>
    </row>
    <row r="42" spans="2:22" x14ac:dyDescent="0.3">
      <c r="B42" s="343" t="s">
        <v>308</v>
      </c>
      <c r="C42" s="343"/>
      <c r="D42" s="344"/>
      <c r="E42" s="343"/>
      <c r="F42" s="345">
        <v>0</v>
      </c>
      <c r="G42" s="163"/>
      <c r="H42" s="163"/>
      <c r="I42" s="163"/>
      <c r="J42" s="163"/>
      <c r="K42" s="163"/>
      <c r="O42" s="46"/>
      <c r="P42" s="25"/>
      <c r="Q42" s="25"/>
      <c r="R42" s="140"/>
      <c r="S42" s="25"/>
      <c r="T42" s="25"/>
      <c r="U42" s="25"/>
    </row>
    <row r="43" spans="2:22" x14ac:dyDescent="0.3">
      <c r="B43" s="343" t="s">
        <v>309</v>
      </c>
      <c r="C43" s="343"/>
      <c r="D43" s="344"/>
      <c r="E43" s="343"/>
      <c r="F43" s="345"/>
      <c r="G43" s="163"/>
      <c r="H43" s="163"/>
      <c r="I43" s="163"/>
      <c r="J43" s="163"/>
      <c r="K43" s="163"/>
      <c r="O43" s="46"/>
      <c r="R43" s="187"/>
    </row>
    <row r="44" spans="2:22" x14ac:dyDescent="0.3">
      <c r="B44" s="343" t="s">
        <v>272</v>
      </c>
      <c r="C44" s="343"/>
      <c r="D44" s="344"/>
      <c r="E44" s="343"/>
      <c r="F44" s="343"/>
      <c r="G44" s="163"/>
      <c r="H44" s="163"/>
      <c r="I44" s="163"/>
      <c r="J44" s="163"/>
      <c r="K44" s="163"/>
      <c r="O44" s="46"/>
    </row>
    <row r="45" spans="2:22" x14ac:dyDescent="0.3">
      <c r="B45" s="253" t="s">
        <v>426</v>
      </c>
      <c r="C45" s="253"/>
      <c r="D45" s="254"/>
      <c r="E45" s="253">
        <v>1.2E-2</v>
      </c>
      <c r="F45" s="268">
        <f>-SUM(F30:F40)*E45</f>
        <v>-2.12256</v>
      </c>
      <c r="G45" s="163"/>
      <c r="H45" s="163"/>
      <c r="I45" s="163"/>
      <c r="J45" s="163"/>
      <c r="K45" s="163"/>
      <c r="O45" s="46"/>
    </row>
    <row r="46" spans="2:22" x14ac:dyDescent="0.3">
      <c r="B46" s="163"/>
      <c r="C46" s="163"/>
      <c r="D46" s="184"/>
      <c r="E46" s="163"/>
      <c r="F46" s="163"/>
      <c r="G46" s="163"/>
      <c r="H46" s="163"/>
      <c r="I46" s="163"/>
      <c r="J46" s="163"/>
      <c r="K46" s="163"/>
      <c r="O46" s="46"/>
    </row>
    <row r="47" spans="2:22" ht="15.6" x14ac:dyDescent="0.3">
      <c r="B47" s="170" t="s">
        <v>177</v>
      </c>
      <c r="C47" s="166"/>
      <c r="D47" s="185"/>
      <c r="E47" s="166"/>
      <c r="F47" s="172">
        <f>SUM(F30:F46)</f>
        <v>174.75744</v>
      </c>
      <c r="G47" s="175">
        <f>SUM(G30:G46)</f>
        <v>5.7577972883473914</v>
      </c>
      <c r="H47" s="177">
        <f>SUM(H30:H46)</f>
        <v>176.86911864007089</v>
      </c>
      <c r="I47" s="166"/>
      <c r="J47" s="177">
        <f>SUM(J30:J46)</f>
        <v>31.836441355212756</v>
      </c>
      <c r="K47" s="166"/>
      <c r="L47" s="53"/>
      <c r="M47" s="53"/>
      <c r="N47" s="53"/>
      <c r="O47" s="248">
        <f>F47</f>
        <v>174.75744</v>
      </c>
    </row>
    <row r="49" spans="2:20" x14ac:dyDescent="0.3">
      <c r="B49" s="238" t="s">
        <v>273</v>
      </c>
      <c r="C49" s="239">
        <f>D30+D31+D32</f>
        <v>182</v>
      </c>
      <c r="D49" s="240">
        <f>IF(AND($B$26&lt;$F$2,$E$26&lt;$F$2),C9,IF($B$26&lt;$F$2,I9,F9))</f>
        <v>1.2448550414992767E-4</v>
      </c>
      <c r="E49" s="240">
        <f>IF(AND($B$26&lt;$F$2,$E$26&lt;$F$2),D9,IF($B$26&lt;$F$2,J9,G9))</f>
        <v>-1.27319E-3</v>
      </c>
      <c r="F49" s="238">
        <f>C49*(I9+J9)</f>
        <v>-0.20906421824471316</v>
      </c>
    </row>
    <row r="54" spans="2:20" x14ac:dyDescent="0.3">
      <c r="B54" s="784" t="s">
        <v>310</v>
      </c>
      <c r="C54" s="785"/>
      <c r="D54" s="785"/>
      <c r="E54" s="785"/>
      <c r="F54" s="785"/>
      <c r="G54" s="785"/>
      <c r="H54" s="786"/>
      <c r="I54" s="25"/>
      <c r="J54" s="129"/>
      <c r="K54" s="25"/>
      <c r="M54" s="25"/>
      <c r="N54" s="25"/>
      <c r="O54" s="25"/>
    </row>
    <row r="55" spans="2:20" x14ac:dyDescent="0.3">
      <c r="B55" s="38"/>
      <c r="D55" s="26" t="s">
        <v>275</v>
      </c>
      <c r="E55" s="26" t="s">
        <v>6</v>
      </c>
      <c r="F55" s="26" t="s">
        <v>7</v>
      </c>
      <c r="G55" s="26" t="s">
        <v>218</v>
      </c>
      <c r="H55" s="95" t="s">
        <v>170</v>
      </c>
      <c r="I55" s="25"/>
      <c r="J55" s="129"/>
      <c r="K55" s="25"/>
      <c r="M55" s="25"/>
      <c r="N55" s="25"/>
      <c r="O55" s="25"/>
    </row>
    <row r="56" spans="2:20" x14ac:dyDescent="0.3">
      <c r="B56" s="112" t="s">
        <v>291</v>
      </c>
      <c r="C56" s="113"/>
      <c r="D56" s="114"/>
      <c r="E56" s="114"/>
      <c r="F56" s="114"/>
      <c r="G56" s="114"/>
      <c r="H56" s="115">
        <f>SUM(H58:H66)+SUM(H72:H74)</f>
        <v>176.86292139397494</v>
      </c>
      <c r="I56" s="25"/>
      <c r="J56" s="441" t="s">
        <v>230</v>
      </c>
      <c r="K56" s="441" t="s">
        <v>279</v>
      </c>
      <c r="L56" s="25"/>
      <c r="M56" s="25"/>
      <c r="N56" s="25"/>
      <c r="O56" s="25"/>
    </row>
    <row r="57" spans="2:20" x14ac:dyDescent="0.3">
      <c r="B57" s="38"/>
      <c r="D57" s="26"/>
      <c r="E57" s="26"/>
      <c r="F57" s="26"/>
      <c r="G57" s="26"/>
      <c r="H57" s="39"/>
      <c r="I57" s="25"/>
      <c r="J57" s="516">
        <f>SUM(H58:H66)</f>
        <v>139.26999999999998</v>
      </c>
      <c r="K57" s="516">
        <f>SUM(H72:H74)</f>
        <v>37.592921393974947</v>
      </c>
      <c r="L57"/>
      <c r="M57" s="25"/>
      <c r="N57" s="25"/>
      <c r="O57" s="25"/>
    </row>
    <row r="58" spans="2:20" x14ac:dyDescent="0.3">
      <c r="B58" s="38" t="s">
        <v>311</v>
      </c>
      <c r="D58" s="123">
        <f>D30</f>
        <v>12</v>
      </c>
      <c r="E58" s="41">
        <f t="shared" ref="E58:F60" si="9">IF(AND($B$26&lt;$F$2,$E$26&lt;$F$2),C6,IF($B$26&lt;$F$2,I6,F6))</f>
        <v>1.0445499999999999</v>
      </c>
      <c r="F58" s="43">
        <f t="shared" si="9"/>
        <v>0.49484</v>
      </c>
      <c r="G58" s="41">
        <f>E58+F58</f>
        <v>1.5393899999999998</v>
      </c>
      <c r="H58" s="42">
        <f>ROUND((D58*E58),2)+ROUND((D58*F58),2)</f>
        <v>18.47</v>
      </c>
      <c r="I58" s="25"/>
      <c r="J58"/>
      <c r="K58"/>
      <c r="L58"/>
      <c r="M58" s="25"/>
      <c r="N58" s="25"/>
      <c r="O58" s="25"/>
      <c r="T58" s="157"/>
    </row>
    <row r="59" spans="2:20" x14ac:dyDescent="0.3">
      <c r="B59" s="38" t="s">
        <v>312</v>
      </c>
      <c r="D59" s="123">
        <f>D31</f>
        <v>13</v>
      </c>
      <c r="E59" s="41">
        <f t="shared" si="9"/>
        <v>0.70716000000000001</v>
      </c>
      <c r="F59" s="43">
        <f t="shared" si="9"/>
        <v>0.31504000000000004</v>
      </c>
      <c r="G59" s="41">
        <f t="shared" ref="G59:G60" si="10">E59+F59</f>
        <v>1.0222</v>
      </c>
      <c r="H59" s="42">
        <f t="shared" ref="H59:H60" si="11">ROUND((D59*E59),2)+ROUND((D59*F59),2)</f>
        <v>13.29</v>
      </c>
      <c r="I59" s="25"/>
      <c r="J59" s="25"/>
      <c r="K59" s="25"/>
      <c r="L59" s="213"/>
      <c r="M59" s="25"/>
      <c r="N59" s="25"/>
      <c r="O59" s="25"/>
      <c r="T59" s="157"/>
    </row>
    <row r="60" spans="2:20" x14ac:dyDescent="0.3">
      <c r="B60" s="38" t="s">
        <v>313</v>
      </c>
      <c r="D60" s="123">
        <f>D32</f>
        <v>157</v>
      </c>
      <c r="E60" s="41">
        <f t="shared" si="9"/>
        <v>0.36975999999999998</v>
      </c>
      <c r="F60" s="43">
        <f t="shared" si="9"/>
        <v>0.31504000000000004</v>
      </c>
      <c r="G60" s="41">
        <f t="shared" si="10"/>
        <v>0.68480000000000008</v>
      </c>
      <c r="H60" s="42">
        <f t="shared" si="11"/>
        <v>107.50999999999999</v>
      </c>
      <c r="I60" s="25"/>
      <c r="J60" s="25"/>
      <c r="K60" s="25"/>
      <c r="L60" s="213"/>
      <c r="M60" s="25"/>
      <c r="N60" s="25"/>
      <c r="O60" s="25"/>
      <c r="T60" s="157"/>
    </row>
    <row r="61" spans="2:20" x14ac:dyDescent="0.3">
      <c r="B61" s="38"/>
      <c r="D61" s="40"/>
      <c r="E61" s="43"/>
      <c r="F61" s="44"/>
      <c r="G61" s="44"/>
      <c r="H61" s="42"/>
      <c r="I61" s="25"/>
      <c r="J61" s="25"/>
      <c r="K61" s="25"/>
      <c r="L61" s="25"/>
      <c r="M61" s="25"/>
      <c r="N61" s="25"/>
      <c r="O61" s="25"/>
      <c r="T61" s="157"/>
    </row>
    <row r="62" spans="2:20" x14ac:dyDescent="0.3">
      <c r="B62" s="38"/>
      <c r="D62" s="45"/>
      <c r="H62" s="46"/>
      <c r="I62" s="25"/>
      <c r="J62" s="25"/>
      <c r="K62" s="25"/>
      <c r="L62" s="25"/>
      <c r="M62" s="25"/>
      <c r="N62" s="25"/>
      <c r="O62" s="25"/>
    </row>
    <row r="63" spans="2:20" x14ac:dyDescent="0.3">
      <c r="B63" s="38" t="s">
        <v>268</v>
      </c>
      <c r="D63" s="47">
        <f>IF($I$24=M23,((D58+D59+D60)*(I26)/(I26+J26)),0)+IF($J$24=M23,((D58+D59+D60)*(J26)/(I26+J26)),0)</f>
        <v>0</v>
      </c>
      <c r="F63" s="48">
        <f>N23</f>
        <v>1.8849999999999999E-2</v>
      </c>
      <c r="G63" s="48"/>
      <c r="H63" s="42">
        <f>ROUND(D63*(E63+F63),2)</f>
        <v>0</v>
      </c>
      <c r="I63" s="25"/>
      <c r="J63" s="25"/>
      <c r="K63" s="25"/>
      <c r="L63" s="25"/>
      <c r="M63" s="25"/>
      <c r="N63" s="25"/>
      <c r="O63" s="25"/>
    </row>
    <row r="64" spans="2:20" x14ac:dyDescent="0.3">
      <c r="B64" s="38" t="s">
        <v>269</v>
      </c>
      <c r="D64" s="47">
        <f>IF($I$24=M24,((D58+D59+D60)*(I26)/(I26+J26)),0)+IF($J$24=M24,((D58+D59+D60)*(J26)/(I26+J26)),0)</f>
        <v>0</v>
      </c>
      <c r="F64" s="48">
        <f>N24</f>
        <v>4.4630000000000003E-2</v>
      </c>
      <c r="G64" s="48"/>
      <c r="H64" s="42">
        <f>ROUND(D64*(E64+F64),2)</f>
        <v>0</v>
      </c>
      <c r="I64" s="25"/>
      <c r="J64" s="25"/>
      <c r="K64" s="25"/>
      <c r="L64" s="25"/>
      <c r="M64" s="25"/>
      <c r="N64" s="25"/>
      <c r="O64" s="25"/>
    </row>
    <row r="65" spans="2:15" x14ac:dyDescent="0.3">
      <c r="B65" s="38" t="s">
        <v>270</v>
      </c>
      <c r="D65" s="47">
        <f>IF($I$24=M25,((D58+D59+D60)*(I26)/(I26+J26)),0)+IF($J$24=M25,((D58+D59+D60)*(J26)/(I26+J26)),0)</f>
        <v>0</v>
      </c>
      <c r="F65" s="48">
        <f>N25</f>
        <v>7.8770000000000007E-2</v>
      </c>
      <c r="G65" s="48"/>
      <c r="H65" s="42">
        <f>ROUND(D65*(E65+F65),2)</f>
        <v>0</v>
      </c>
      <c r="I65" s="25"/>
      <c r="J65" s="25"/>
      <c r="K65" s="25"/>
      <c r="L65" s="25"/>
      <c r="M65" s="25"/>
      <c r="N65" s="25"/>
      <c r="O65" s="25"/>
    </row>
    <row r="66" spans="2:15" x14ac:dyDescent="0.3">
      <c r="B66" s="38" t="s">
        <v>280</v>
      </c>
      <c r="D66" s="47">
        <f>IF($I$24=M26,((D58+D59+D60)*(I26)/(I26+J26)),0)+IF($J$24=M26,((D58+D59+D60)*(J26)/(I26+J26)),0)</f>
        <v>0</v>
      </c>
      <c r="F66" s="48">
        <f>N26</f>
        <v>0.14199999999999999</v>
      </c>
      <c r="G66" s="48"/>
      <c r="H66" s="42">
        <f>ROUND(D66*(E66+F66),2)</f>
        <v>0</v>
      </c>
      <c r="I66" s="25"/>
      <c r="J66" s="25"/>
      <c r="K66" s="25"/>
      <c r="L66" s="25"/>
      <c r="M66" s="25"/>
      <c r="N66" s="25"/>
      <c r="O66" s="25"/>
    </row>
    <row r="67" spans="2:15" x14ac:dyDescent="0.3">
      <c r="B67" s="38"/>
      <c r="D67" s="45"/>
      <c r="H67" s="42"/>
      <c r="I67" s="25"/>
      <c r="J67" s="25"/>
      <c r="K67" s="25"/>
      <c r="L67" s="25"/>
      <c r="M67" s="25"/>
      <c r="N67" s="25"/>
      <c r="O67" s="25"/>
    </row>
    <row r="68" spans="2:15" x14ac:dyDescent="0.3">
      <c r="B68" s="50"/>
      <c r="C68" s="30"/>
      <c r="D68" s="30"/>
      <c r="E68" s="30"/>
      <c r="F68" s="30"/>
      <c r="G68" s="30"/>
      <c r="H68" s="51"/>
      <c r="I68" s="25"/>
      <c r="J68" s="25"/>
      <c r="K68" s="25"/>
      <c r="L68" s="25"/>
      <c r="M68" s="25"/>
      <c r="N68" s="25"/>
      <c r="O68" s="25"/>
    </row>
    <row r="69" spans="2:15" x14ac:dyDescent="0.3">
      <c r="B69" s="52"/>
      <c r="C69" s="53"/>
      <c r="D69" s="54"/>
      <c r="E69" s="55"/>
      <c r="F69" s="53"/>
      <c r="G69" s="53"/>
      <c r="H69" s="56"/>
      <c r="I69" s="25"/>
      <c r="J69" s="25"/>
      <c r="K69" s="25"/>
      <c r="L69" s="25"/>
      <c r="M69" s="25"/>
      <c r="N69" s="25"/>
      <c r="O69" s="25"/>
    </row>
    <row r="70" spans="2:15" x14ac:dyDescent="0.3">
      <c r="B70" s="57"/>
      <c r="C70" s="58"/>
      <c r="D70" s="58"/>
      <c r="E70" s="58"/>
      <c r="F70" s="58"/>
      <c r="G70" s="58"/>
      <c r="H70" s="59"/>
      <c r="I70" s="25"/>
      <c r="L70" s="25"/>
      <c r="M70" s="25"/>
      <c r="N70" s="25"/>
      <c r="O70" s="25"/>
    </row>
    <row r="71" spans="2:15" x14ac:dyDescent="0.3">
      <c r="B71" s="38"/>
      <c r="D71" s="23" t="s">
        <v>314</v>
      </c>
      <c r="E71" s="37"/>
      <c r="F71" s="37"/>
      <c r="G71" s="37"/>
      <c r="H71" s="60"/>
      <c r="I71" s="61"/>
      <c r="K71" s="62"/>
      <c r="L71" s="25"/>
      <c r="M71" s="25"/>
      <c r="N71" s="25"/>
      <c r="O71" s="25"/>
    </row>
    <row r="72" spans="2:15" x14ac:dyDescent="0.3">
      <c r="B72" s="38" t="s">
        <v>282</v>
      </c>
      <c r="D72" s="62">
        <f>(SUM(H58:H66)/(1-E72-E73))</f>
        <v>145.02759554305945</v>
      </c>
      <c r="E72" s="215">
        <f>N30</f>
        <v>7.1000000000000004E-3</v>
      </c>
      <c r="H72" s="42">
        <f>D72*E72</f>
        <v>1.0296959283557221</v>
      </c>
      <c r="I72" s="62"/>
      <c r="L72" s="25"/>
      <c r="M72" s="25"/>
      <c r="N72" s="25"/>
      <c r="O72" s="25"/>
    </row>
    <row r="73" spans="2:15" x14ac:dyDescent="0.3">
      <c r="B73" s="38" t="s">
        <v>265</v>
      </c>
      <c r="D73" s="62">
        <f>D72</f>
        <v>145.02759554305945</v>
      </c>
      <c r="E73" s="215">
        <f>N31</f>
        <v>3.2599999999999997E-2</v>
      </c>
      <c r="H73" s="42">
        <f>D73*E73</f>
        <v>4.7278996147037375</v>
      </c>
      <c r="I73" s="62"/>
      <c r="L73" s="25"/>
      <c r="M73" s="25"/>
      <c r="N73" s="25"/>
      <c r="O73" s="25"/>
    </row>
    <row r="74" spans="2:15" x14ac:dyDescent="0.3">
      <c r="B74" s="38" t="s">
        <v>283</v>
      </c>
      <c r="D74" s="132">
        <f>D72/(1-E74)</f>
        <v>176.86292139397491</v>
      </c>
      <c r="E74" s="76">
        <f>I30</f>
        <v>0.18</v>
      </c>
      <c r="H74" s="42">
        <f>D74*E74</f>
        <v>31.835325850915485</v>
      </c>
      <c r="I74" s="62"/>
      <c r="L74" s="25"/>
      <c r="M74" s="25"/>
      <c r="N74" s="25"/>
      <c r="O74" s="25"/>
    </row>
    <row r="75" spans="2:15" x14ac:dyDescent="0.3">
      <c r="B75" s="52"/>
      <c r="C75" s="53"/>
      <c r="D75" s="53"/>
      <c r="E75" s="53"/>
      <c r="F75" s="53"/>
      <c r="G75" s="53"/>
      <c r="H75" s="63"/>
      <c r="L75" s="25"/>
      <c r="M75" s="25"/>
      <c r="N75" s="25"/>
      <c r="O75" s="25"/>
    </row>
    <row r="76" spans="2:15" x14ac:dyDescent="0.3">
      <c r="B76" s="145" t="s">
        <v>315</v>
      </c>
      <c r="C76" s="146"/>
      <c r="D76" s="147">
        <f>SUM(D58:D60)</f>
        <v>182</v>
      </c>
      <c r="E76" s="148">
        <f>IF(AND($B$26&lt;$F$2,$E$26&lt;$F$2),C9,IF($B$26&lt;$F$2,I9,F9))</f>
        <v>1.2448550414992767E-4</v>
      </c>
      <c r="F76" s="148">
        <f>IF(AND($B$26&lt;$F$2,$E$26&lt;$F$2),D9,IF($B$26&lt;$F$2,J9,G9))</f>
        <v>-1.27319E-3</v>
      </c>
      <c r="G76" s="146"/>
      <c r="H76" s="145">
        <f>D76*(E76+F76)</f>
        <v>-0.20906421824471316</v>
      </c>
      <c r="L76" s="25"/>
      <c r="M76" s="25"/>
      <c r="N76" s="25"/>
      <c r="O76" s="25"/>
    </row>
    <row r="77" spans="2:15" x14ac:dyDescent="0.3">
      <c r="L77" s="25"/>
      <c r="M77" s="25"/>
      <c r="N77" s="25"/>
      <c r="O77" s="25"/>
    </row>
    <row r="78" spans="2:15" x14ac:dyDescent="0.3">
      <c r="B78" s="64"/>
      <c r="D78" s="37"/>
      <c r="E78" s="37" t="s">
        <v>210</v>
      </c>
      <c r="F78" s="37"/>
      <c r="G78" s="37"/>
      <c r="H78" s="61"/>
    </row>
    <row r="79" spans="2:15" x14ac:dyDescent="0.3">
      <c r="B79" s="35">
        <v>2025</v>
      </c>
      <c r="D79" s="29" t="s">
        <v>190</v>
      </c>
      <c r="E79" s="29" t="s">
        <v>191</v>
      </c>
      <c r="F79" s="29" t="s">
        <v>192</v>
      </c>
      <c r="G79" s="29" t="s">
        <v>193</v>
      </c>
    </row>
    <row r="80" spans="2:15" x14ac:dyDescent="0.3">
      <c r="B80" s="27" t="s">
        <v>194</v>
      </c>
      <c r="D80" s="29" t="s">
        <v>195</v>
      </c>
      <c r="E80" s="29" t="s">
        <v>195</v>
      </c>
      <c r="F80" s="29" t="s">
        <v>195</v>
      </c>
      <c r="G80" s="29" t="s">
        <v>195</v>
      </c>
    </row>
    <row r="81" spans="2:7" x14ac:dyDescent="0.3">
      <c r="D81" s="29"/>
      <c r="E81" s="29"/>
      <c r="F81" s="29"/>
      <c r="G81" s="29"/>
    </row>
    <row r="82" spans="2:7" x14ac:dyDescent="0.3">
      <c r="B82" s="27" t="s">
        <v>196</v>
      </c>
      <c r="D82" s="313">
        <v>0.39769197799808981</v>
      </c>
      <c r="E82" s="313">
        <v>8.512776690845017E-2</v>
      </c>
      <c r="F82" s="313">
        <v>0.25265748787228293</v>
      </c>
      <c r="G82" s="313">
        <v>0.26452276722117707</v>
      </c>
    </row>
    <row r="83" spans="2:7" x14ac:dyDescent="0.3">
      <c r="B83" s="27" t="s">
        <v>197</v>
      </c>
      <c r="D83" s="313">
        <v>0.51666134768573579</v>
      </c>
      <c r="E83" s="313">
        <v>0.11059369866547396</v>
      </c>
      <c r="F83" s="313">
        <v>0.32823985750000007</v>
      </c>
      <c r="G83" s="313">
        <v>4.4505096148790169E-2</v>
      </c>
    </row>
    <row r="84" spans="2:7" x14ac:dyDescent="0.3">
      <c r="B84" s="27" t="s">
        <v>198</v>
      </c>
      <c r="D84" s="313">
        <v>0.39769197799808981</v>
      </c>
      <c r="E84" s="313">
        <v>8.512776690845017E-2</v>
      </c>
      <c r="F84" s="313">
        <v>0.25265748787228293</v>
      </c>
      <c r="G84" s="313">
        <v>0.26452276722117707</v>
      </c>
    </row>
    <row r="85" spans="2:7" x14ac:dyDescent="0.3">
      <c r="B85" s="27" t="s">
        <v>199</v>
      </c>
      <c r="D85" s="313">
        <v>0.39769197799808981</v>
      </c>
      <c r="E85" s="313">
        <v>8.512776690845017E-2</v>
      </c>
      <c r="F85" s="313">
        <v>0.25265748787228293</v>
      </c>
      <c r="G85" s="313">
        <v>0.26452276722117707</v>
      </c>
    </row>
    <row r="86" spans="2:7" x14ac:dyDescent="0.3">
      <c r="B86" s="27" t="s">
        <v>200</v>
      </c>
      <c r="D86" s="313">
        <v>0.39769197799808981</v>
      </c>
      <c r="E86" s="313">
        <v>8.512776690845017E-2</v>
      </c>
      <c r="F86" s="313">
        <v>0.25265748787228293</v>
      </c>
      <c r="G86" s="313">
        <v>0.26452276722117707</v>
      </c>
    </row>
    <row r="87" spans="2:7" x14ac:dyDescent="0.3">
      <c r="B87" s="35" t="s">
        <v>201</v>
      </c>
      <c r="C87" s="35"/>
      <c r="D87" s="306">
        <v>0.39769197799808981</v>
      </c>
      <c r="E87" s="306">
        <v>8.512776690845017E-2</v>
      </c>
      <c r="F87" s="306">
        <v>0.25265748787228293</v>
      </c>
      <c r="G87" s="306">
        <v>0.26452276722117707</v>
      </c>
    </row>
    <row r="88" spans="2:7" x14ac:dyDescent="0.3">
      <c r="B88" s="35" t="s">
        <v>202</v>
      </c>
      <c r="C88" s="35"/>
      <c r="D88" s="306">
        <v>0.39769197799808981</v>
      </c>
      <c r="E88" s="306">
        <v>8.512776690845017E-2</v>
      </c>
      <c r="F88" s="306">
        <v>0.25265748787228293</v>
      </c>
      <c r="G88" s="306">
        <v>0.26452276722117707</v>
      </c>
    </row>
    <row r="89" spans="2:7" x14ac:dyDescent="0.3">
      <c r="B89" s="35" t="s">
        <v>203</v>
      </c>
      <c r="C89" s="35"/>
      <c r="D89" s="306">
        <v>0.39769197799808981</v>
      </c>
      <c r="E89" s="306">
        <v>8.512776690845017E-2</v>
      </c>
      <c r="F89" s="306">
        <v>0.25265748787228293</v>
      </c>
      <c r="G89" s="306">
        <v>0.26452276722117707</v>
      </c>
    </row>
    <row r="90" spans="2:7" x14ac:dyDescent="0.3">
      <c r="B90" s="35" t="s">
        <v>204</v>
      </c>
      <c r="C90" s="35"/>
      <c r="D90" s="306">
        <v>0.39769197799808981</v>
      </c>
      <c r="E90" s="306">
        <v>8.512776690845017E-2</v>
      </c>
      <c r="F90" s="306">
        <v>0.25265748787228293</v>
      </c>
      <c r="G90" s="306">
        <v>0.26452276722117707</v>
      </c>
    </row>
    <row r="91" spans="2:7" x14ac:dyDescent="0.3">
      <c r="B91" s="35"/>
      <c r="C91" s="35"/>
      <c r="D91" s="306"/>
      <c r="E91" s="306"/>
      <c r="F91" s="306"/>
      <c r="G91" s="306"/>
    </row>
    <row r="92" spans="2:7" x14ac:dyDescent="0.3">
      <c r="B92" s="35"/>
      <c r="C92" s="35"/>
      <c r="D92" s="306"/>
      <c r="E92" s="306"/>
      <c r="F92" s="306"/>
      <c r="G92" s="306"/>
    </row>
    <row r="93" spans="2:7" x14ac:dyDescent="0.3">
      <c r="B93" s="35">
        <v>2025</v>
      </c>
      <c r="C93" s="35"/>
      <c r="D93" s="306" t="s">
        <v>190</v>
      </c>
      <c r="E93" s="306" t="s">
        <v>191</v>
      </c>
      <c r="F93" s="306" t="s">
        <v>192</v>
      </c>
      <c r="G93" s="306" t="s">
        <v>193</v>
      </c>
    </row>
    <row r="94" spans="2:7" x14ac:dyDescent="0.3">
      <c r="B94" s="35" t="s">
        <v>194</v>
      </c>
      <c r="C94" s="35"/>
      <c r="D94" s="306" t="s">
        <v>195</v>
      </c>
      <c r="E94" s="306" t="s">
        <v>195</v>
      </c>
      <c r="F94" s="306" t="s">
        <v>195</v>
      </c>
      <c r="G94" s="306" t="s">
        <v>195</v>
      </c>
    </row>
    <row r="95" spans="2:7" x14ac:dyDescent="0.3">
      <c r="B95" s="35"/>
      <c r="C95" s="35"/>
      <c r="D95" s="306"/>
      <c r="E95" s="306"/>
      <c r="F95" s="306"/>
      <c r="G95" s="306"/>
    </row>
    <row r="96" spans="2:7" x14ac:dyDescent="0.3">
      <c r="B96" s="35" t="s">
        <v>196</v>
      </c>
      <c r="C96" s="35"/>
      <c r="D96" s="310">
        <v>0.41273682960000002</v>
      </c>
      <c r="E96" s="310">
        <v>9.8534926200000011E-2</v>
      </c>
      <c r="F96" s="310">
        <v>0.2916348184</v>
      </c>
      <c r="G96" s="310">
        <v>0.19709700829999999</v>
      </c>
    </row>
    <row r="97" spans="2:10" x14ac:dyDescent="0.3">
      <c r="B97" s="35" t="s">
        <v>197</v>
      </c>
      <c r="C97" s="35"/>
      <c r="D97" s="310">
        <v>0.49306718250000003</v>
      </c>
      <c r="E97" s="310">
        <v>0.11771263169999999</v>
      </c>
      <c r="F97" s="310">
        <v>0.34839526770000001</v>
      </c>
      <c r="G97" s="310">
        <v>4.0810691699999999E-2</v>
      </c>
      <c r="J97" s="30"/>
    </row>
    <row r="98" spans="2:10" x14ac:dyDescent="0.3">
      <c r="B98" s="35" t="s">
        <v>198</v>
      </c>
      <c r="C98" s="35"/>
      <c r="D98" s="310">
        <v>0.41273682960000002</v>
      </c>
      <c r="E98" s="310">
        <v>9.8534926200000011E-2</v>
      </c>
      <c r="F98" s="310">
        <v>0.2916348184</v>
      </c>
      <c r="G98" s="310">
        <v>0.19709700829999999</v>
      </c>
    </row>
    <row r="99" spans="2:10" x14ac:dyDescent="0.3">
      <c r="B99" s="64" t="s">
        <v>199</v>
      </c>
      <c r="C99" s="64"/>
      <c r="D99" s="311">
        <v>0.41273682960000002</v>
      </c>
      <c r="E99" s="311">
        <v>9.8534926200000011E-2</v>
      </c>
      <c r="F99" s="311">
        <v>0.2916348184</v>
      </c>
      <c r="G99" s="311">
        <v>0.19709700829999999</v>
      </c>
    </row>
    <row r="100" spans="2:10" x14ac:dyDescent="0.3">
      <c r="B100" s="64" t="s">
        <v>200</v>
      </c>
      <c r="C100" s="64"/>
      <c r="D100" s="311">
        <v>0.41273682960000002</v>
      </c>
      <c r="E100" s="311">
        <v>9.8534926200000011E-2</v>
      </c>
      <c r="F100" s="311">
        <v>0.2916348184</v>
      </c>
      <c r="G100" s="311">
        <v>0.19709700829999999</v>
      </c>
    </row>
    <row r="101" spans="2:10" x14ac:dyDescent="0.3">
      <c r="B101" s="64" t="s">
        <v>201</v>
      </c>
      <c r="C101" s="35"/>
      <c r="D101" s="310">
        <v>0.41273682960000002</v>
      </c>
      <c r="E101" s="310">
        <v>9.8534926200000011E-2</v>
      </c>
      <c r="F101" s="310">
        <v>0.2916348184</v>
      </c>
      <c r="G101" s="310">
        <v>0.19709700829999999</v>
      </c>
    </row>
    <row r="102" spans="2:10" x14ac:dyDescent="0.3">
      <c r="B102" s="35" t="s">
        <v>202</v>
      </c>
      <c r="C102" s="35"/>
      <c r="D102" s="310">
        <v>0.41273480010000002</v>
      </c>
      <c r="E102" s="310">
        <v>9.8534441600000008E-2</v>
      </c>
      <c r="F102" s="310">
        <v>0.29163338430000002</v>
      </c>
      <c r="G102" s="310">
        <v>0.19709603919999999</v>
      </c>
    </row>
    <row r="103" spans="2:10" x14ac:dyDescent="0.3">
      <c r="B103" s="35" t="s">
        <v>203</v>
      </c>
      <c r="C103" s="35"/>
      <c r="D103" s="310">
        <v>0.41274125779999998</v>
      </c>
      <c r="E103" s="310">
        <v>9.8535983300000005E-2</v>
      </c>
      <c r="F103" s="310">
        <v>0.29163794719999997</v>
      </c>
      <c r="G103" s="310">
        <v>0.19709912289999998</v>
      </c>
    </row>
    <row r="104" spans="2:10" x14ac:dyDescent="0.3">
      <c r="B104" s="35" t="s">
        <v>204</v>
      </c>
      <c r="C104" s="35"/>
      <c r="D104" s="310">
        <v>0.41273480010000002</v>
      </c>
      <c r="E104" s="310">
        <v>9.8534441600000008E-2</v>
      </c>
      <c r="F104" s="310">
        <v>0.29163338430000002</v>
      </c>
      <c r="G104" s="310">
        <v>0.19709603919999999</v>
      </c>
    </row>
    <row r="105" spans="2:10" x14ac:dyDescent="0.3">
      <c r="B105" s="35"/>
      <c r="C105" s="35"/>
      <c r="D105" s="306"/>
      <c r="E105" s="306"/>
      <c r="F105" s="306"/>
      <c r="G105" s="306"/>
    </row>
    <row r="106" spans="2:10" x14ac:dyDescent="0.3">
      <c r="B106" s="35" t="s">
        <v>284</v>
      </c>
      <c r="C106" s="35"/>
      <c r="D106" s="306"/>
      <c r="E106" s="306"/>
      <c r="F106" s="306"/>
      <c r="G106" s="306"/>
    </row>
    <row r="107" spans="2:10" x14ac:dyDescent="0.3">
      <c r="B107" s="35"/>
      <c r="C107" s="35"/>
      <c r="D107" s="306" t="s">
        <v>190</v>
      </c>
      <c r="E107" s="306" t="s">
        <v>191</v>
      </c>
      <c r="F107" s="306" t="s">
        <v>192</v>
      </c>
      <c r="G107" s="306" t="s">
        <v>193</v>
      </c>
    </row>
    <row r="108" spans="2:10" x14ac:dyDescent="0.3">
      <c r="B108" s="35" t="s">
        <v>194</v>
      </c>
      <c r="C108" s="35"/>
      <c r="D108" s="306" t="s">
        <v>195</v>
      </c>
      <c r="E108" s="306" t="s">
        <v>195</v>
      </c>
      <c r="F108" s="306" t="s">
        <v>195</v>
      </c>
      <c r="G108" s="306" t="s">
        <v>195</v>
      </c>
    </row>
    <row r="109" spans="2:10" x14ac:dyDescent="0.3">
      <c r="B109" s="35"/>
      <c r="C109" s="35"/>
      <c r="D109" s="306"/>
      <c r="E109" s="306"/>
      <c r="F109" s="306"/>
      <c r="G109" s="306"/>
    </row>
    <row r="110" spans="2:10" x14ac:dyDescent="0.3">
      <c r="B110" s="35" t="s">
        <v>196</v>
      </c>
      <c r="C110" s="35"/>
      <c r="D110" s="306">
        <f t="shared" ref="D110:G118" si="12">((D96*$C$26)+(D82*$D$26))/($C$26+$D$26)</f>
        <v>0.39769197799808981</v>
      </c>
      <c r="E110" s="306">
        <f t="shared" si="12"/>
        <v>8.512776690845017E-2</v>
      </c>
      <c r="F110" s="306">
        <f t="shared" si="12"/>
        <v>0.25265748787228293</v>
      </c>
      <c r="G110" s="306">
        <f t="shared" si="12"/>
        <v>0.26452276722117707</v>
      </c>
    </row>
    <row r="111" spans="2:10" x14ac:dyDescent="0.3">
      <c r="B111" s="35" t="s">
        <v>197</v>
      </c>
      <c r="C111" s="35"/>
      <c r="D111" s="306">
        <f t="shared" si="12"/>
        <v>0.51666134768573579</v>
      </c>
      <c r="E111" s="306">
        <f t="shared" si="12"/>
        <v>0.11059369866547396</v>
      </c>
      <c r="F111" s="306">
        <f t="shared" si="12"/>
        <v>0.32823985750000007</v>
      </c>
      <c r="G111" s="306">
        <f t="shared" si="12"/>
        <v>4.4505096148790169E-2</v>
      </c>
    </row>
    <row r="112" spans="2:10" x14ac:dyDescent="0.3">
      <c r="B112" s="35" t="s">
        <v>198</v>
      </c>
      <c r="C112" s="35"/>
      <c r="D112" s="306">
        <f t="shared" si="12"/>
        <v>0.39769197799808981</v>
      </c>
      <c r="E112" s="306">
        <f t="shared" si="12"/>
        <v>8.512776690845017E-2</v>
      </c>
      <c r="F112" s="306">
        <f t="shared" si="12"/>
        <v>0.25265748787228293</v>
      </c>
      <c r="G112" s="306">
        <f t="shared" si="12"/>
        <v>0.26452276722117707</v>
      </c>
    </row>
    <row r="113" spans="2:7" x14ac:dyDescent="0.3">
      <c r="B113" s="64" t="s">
        <v>199</v>
      </c>
      <c r="C113" s="64"/>
      <c r="D113" s="312">
        <f t="shared" si="12"/>
        <v>0.39769197799808981</v>
      </c>
      <c r="E113" s="312">
        <f t="shared" si="12"/>
        <v>8.512776690845017E-2</v>
      </c>
      <c r="F113" s="312">
        <f t="shared" si="12"/>
        <v>0.25265748787228293</v>
      </c>
      <c r="G113" s="312">
        <f t="shared" si="12"/>
        <v>0.26452276722117707</v>
      </c>
    </row>
    <row r="114" spans="2:7" x14ac:dyDescent="0.3">
      <c r="B114" s="72" t="s">
        <v>200</v>
      </c>
      <c r="C114" s="64"/>
      <c r="D114" s="312">
        <f t="shared" si="12"/>
        <v>0.39769197799808981</v>
      </c>
      <c r="E114" s="312">
        <f t="shared" si="12"/>
        <v>8.512776690845017E-2</v>
      </c>
      <c r="F114" s="312">
        <f t="shared" si="12"/>
        <v>0.25265748787228293</v>
      </c>
      <c r="G114" s="312">
        <f t="shared" si="12"/>
        <v>0.26452276722117707</v>
      </c>
    </row>
    <row r="115" spans="2:7" x14ac:dyDescent="0.3">
      <c r="B115" s="35" t="s">
        <v>201</v>
      </c>
      <c r="C115" s="35"/>
      <c r="D115" s="306">
        <f t="shared" si="12"/>
        <v>0.39769197799808981</v>
      </c>
      <c r="E115" s="306">
        <f t="shared" si="12"/>
        <v>8.512776690845017E-2</v>
      </c>
      <c r="F115" s="306">
        <f t="shared" si="12"/>
        <v>0.25265748787228293</v>
      </c>
      <c r="G115" s="306">
        <f t="shared" si="12"/>
        <v>0.26452276722117707</v>
      </c>
    </row>
    <row r="116" spans="2:7" x14ac:dyDescent="0.3">
      <c r="B116" s="35" t="s">
        <v>202</v>
      </c>
      <c r="C116" s="35"/>
      <c r="D116" s="306">
        <f t="shared" si="12"/>
        <v>0.39769197799808981</v>
      </c>
      <c r="E116" s="306">
        <f t="shared" si="12"/>
        <v>8.512776690845017E-2</v>
      </c>
      <c r="F116" s="306">
        <f t="shared" si="12"/>
        <v>0.25265748787228293</v>
      </c>
      <c r="G116" s="306">
        <f t="shared" si="12"/>
        <v>0.26452276722117707</v>
      </c>
    </row>
    <row r="117" spans="2:7" x14ac:dyDescent="0.3">
      <c r="B117" s="35" t="s">
        <v>203</v>
      </c>
      <c r="C117" s="35"/>
      <c r="D117" s="306">
        <f t="shared" si="12"/>
        <v>0.39769197799808981</v>
      </c>
      <c r="E117" s="306">
        <f t="shared" si="12"/>
        <v>8.512776690845017E-2</v>
      </c>
      <c r="F117" s="306">
        <f t="shared" si="12"/>
        <v>0.25265748787228293</v>
      </c>
      <c r="G117" s="306">
        <f t="shared" si="12"/>
        <v>0.26452276722117707</v>
      </c>
    </row>
    <row r="118" spans="2:7" x14ac:dyDescent="0.3">
      <c r="B118" s="35" t="s">
        <v>204</v>
      </c>
      <c r="C118" s="35"/>
      <c r="D118" s="306">
        <f t="shared" si="12"/>
        <v>0.39769197799808981</v>
      </c>
      <c r="E118" s="306">
        <f t="shared" si="12"/>
        <v>8.512776690845017E-2</v>
      </c>
      <c r="F118" s="306">
        <f t="shared" si="12"/>
        <v>0.25265748787228293</v>
      </c>
      <c r="G118" s="306">
        <f t="shared" si="12"/>
        <v>0.26452276722117707</v>
      </c>
    </row>
    <row r="119" spans="2:7" x14ac:dyDescent="0.3">
      <c r="B119" s="35"/>
      <c r="C119" s="35"/>
      <c r="D119" s="71"/>
      <c r="E119" s="71"/>
      <c r="F119" s="71"/>
      <c r="G119" s="71"/>
    </row>
    <row r="120" spans="2:7" x14ac:dyDescent="0.3">
      <c r="B120" s="35"/>
      <c r="C120" s="35"/>
      <c r="D120" s="71"/>
      <c r="E120" s="71"/>
      <c r="F120" s="71"/>
      <c r="G120" s="71"/>
    </row>
    <row r="121" spans="2:7" x14ac:dyDescent="0.3">
      <c r="B121" s="35"/>
      <c r="C121" s="35"/>
      <c r="D121" s="71"/>
      <c r="E121" s="71"/>
      <c r="F121" s="71"/>
      <c r="G121" s="71"/>
    </row>
    <row r="122" spans="2:7" x14ac:dyDescent="0.3">
      <c r="B122" s="35"/>
      <c r="C122" s="35"/>
      <c r="D122" s="71"/>
      <c r="E122" s="71"/>
      <c r="F122" s="71"/>
      <c r="G122" s="71"/>
    </row>
    <row r="123" spans="2:7" x14ac:dyDescent="0.3">
      <c r="B123" s="35"/>
      <c r="C123" s="35"/>
      <c r="D123" s="71"/>
      <c r="E123" s="71"/>
      <c r="F123" s="71"/>
      <c r="G123" s="71"/>
    </row>
    <row r="124" spans="2:7" x14ac:dyDescent="0.3">
      <c r="B124" s="35"/>
      <c r="C124" s="35"/>
      <c r="D124" s="71"/>
      <c r="E124" s="71"/>
      <c r="F124" s="71"/>
      <c r="G124" s="71"/>
    </row>
    <row r="125" spans="2:7" x14ac:dyDescent="0.3">
      <c r="B125" s="35"/>
      <c r="C125" s="35"/>
      <c r="D125" s="71"/>
      <c r="E125" s="71"/>
      <c r="F125" s="71"/>
      <c r="G125" s="71"/>
    </row>
    <row r="126" spans="2:7" x14ac:dyDescent="0.3">
      <c r="B126" s="35"/>
      <c r="C126" s="35"/>
      <c r="D126" s="71"/>
      <c r="E126" s="71"/>
      <c r="F126" s="71"/>
      <c r="G126" s="71"/>
    </row>
  </sheetData>
  <mergeCells count="8">
    <mergeCell ref="B54:H54"/>
    <mergeCell ref="H12:I12"/>
    <mergeCell ref="B4:B5"/>
    <mergeCell ref="C4:E4"/>
    <mergeCell ref="F4:H4"/>
    <mergeCell ref="I4:K4"/>
    <mergeCell ref="B12:C12"/>
    <mergeCell ref="H17:H18"/>
  </mergeCells>
  <conditionalFormatting sqref="I24:J24">
    <cfRule type="cellIs" dxfId="83" priority="1" operator="equal">
      <formula>"Escassez Hídrica"</formula>
    </cfRule>
    <cfRule type="cellIs" dxfId="82" priority="2" operator="equal">
      <formula>"VERDE"</formula>
    </cfRule>
    <cfRule type="cellIs" dxfId="81" priority="3" operator="equal">
      <formula>"BVM2"</formula>
    </cfRule>
    <cfRule type="cellIs" dxfId="80" priority="4" operator="equal">
      <formula>"BVM1"</formula>
    </cfRule>
    <cfRule type="cellIs" dxfId="79" priority="5" operator="equal">
      <formula>"BAM"</formula>
    </cfRule>
  </conditionalFormatting>
  <conditionalFormatting sqref="M22">
    <cfRule type="cellIs" dxfId="78" priority="11" operator="equal">
      <formula>"VERDE"</formula>
    </cfRule>
    <cfRule type="cellIs" dxfId="77" priority="12" operator="equal">
      <formula>"BVM2"</formula>
    </cfRule>
    <cfRule type="cellIs" dxfId="76" priority="13" operator="equal">
      <formula>"BVM1"</formula>
    </cfRule>
    <cfRule type="cellIs" dxfId="75" priority="14" operator="equal">
      <formula>"BAM"</formula>
    </cfRule>
  </conditionalFormatting>
  <conditionalFormatting sqref="M26">
    <cfRule type="containsText" dxfId="74" priority="6" operator="containsText" text="Escassez Hídrica">
      <formula>NOT(ISERROR(SEARCH("Escassez Hídrica",M26)))</formula>
    </cfRule>
    <cfRule type="cellIs" dxfId="73" priority="7" operator="equal">
      <formula>"VERDE"</formula>
    </cfRule>
    <cfRule type="cellIs" dxfId="72" priority="8" operator="equal">
      <formula>"BVM2"</formula>
    </cfRule>
    <cfRule type="cellIs" dxfId="71" priority="9" operator="equal">
      <formula>"BVM1"</formula>
    </cfRule>
    <cfRule type="cellIs" dxfId="70" priority="10" operator="equal">
      <formula>"BAM"</formula>
    </cfRule>
  </conditionalFormatting>
  <dataValidations disablePrompts="1" count="2">
    <dataValidation type="list" allowBlank="1" showInputMessage="1" showErrorMessage="1" sqref="B14" xr:uid="{00000000-0002-0000-1200-000000000000}">
      <formula1>$V$3:$V$11</formula1>
    </dataValidation>
    <dataValidation type="list" allowBlank="1" showInputMessage="1" showErrorMessage="1" sqref="I24:J24" xr:uid="{00000000-0002-0000-12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>
    <tabColor rgb="FF92D050"/>
  </sheetPr>
  <dimension ref="A1:Y125"/>
  <sheetViews>
    <sheetView showGridLines="0" zoomScale="60" zoomScaleNormal="60" workbookViewId="0">
      <selection activeCell="F2" sqref="F2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24</v>
      </c>
      <c r="E2" s="438" t="s">
        <v>211</v>
      </c>
      <c r="F2" s="439">
        <f>'B1CDE '!F2</f>
        <v>46023</v>
      </c>
      <c r="G2" s="25" t="s">
        <v>210</v>
      </c>
      <c r="J2" s="25"/>
      <c r="K2" s="25"/>
    </row>
    <row r="4" spans="1:20" ht="15" customHeight="1" x14ac:dyDescent="0.3">
      <c r="B4" s="802" t="s">
        <v>212</v>
      </c>
      <c r="C4" s="803" t="s">
        <v>213</v>
      </c>
      <c r="D4" s="803"/>
      <c r="E4" s="803"/>
      <c r="F4" s="803" t="s">
        <v>214</v>
      </c>
      <c r="G4" s="803"/>
      <c r="H4" s="803"/>
      <c r="I4" s="804" t="s">
        <v>215</v>
      </c>
      <c r="J4" s="804"/>
      <c r="K4" s="804"/>
    </row>
    <row r="5" spans="1:20" x14ac:dyDescent="0.3">
      <c r="B5" s="802"/>
      <c r="C5" s="448" t="s">
        <v>217</v>
      </c>
      <c r="D5" s="448" t="s">
        <v>7</v>
      </c>
      <c r="E5" s="448" t="s">
        <v>218</v>
      </c>
      <c r="F5" s="448" t="s">
        <v>217</v>
      </c>
      <c r="G5" s="448" t="s">
        <v>7</v>
      </c>
      <c r="H5" s="448" t="s">
        <v>218</v>
      </c>
      <c r="I5" s="473" t="s">
        <v>217</v>
      </c>
      <c r="J5" s="473" t="s">
        <v>7</v>
      </c>
      <c r="K5" s="473" t="s">
        <v>218</v>
      </c>
    </row>
    <row r="6" spans="1:20" ht="18" x14ac:dyDescent="0.3">
      <c r="B6" s="474" t="s">
        <v>24</v>
      </c>
      <c r="C6" s="475">
        <v>0.39694999999999997</v>
      </c>
      <c r="D6" s="475">
        <v>0.28093000000000001</v>
      </c>
      <c r="E6" s="475">
        <f t="shared" ref="E6:E7" si="0">C6+D6</f>
        <v>0.67788000000000004</v>
      </c>
      <c r="F6" s="476">
        <v>0.45667000000000002</v>
      </c>
      <c r="G6" s="476">
        <v>0.33002999999999999</v>
      </c>
      <c r="H6" s="475">
        <f t="shared" ref="H6:H7" si="1">F6+G6</f>
        <v>0.78669999999999995</v>
      </c>
      <c r="I6" s="475">
        <f>((C6*$C$26)+(F6*$D$26))/($D$26+$C$26)</f>
        <v>0.45667000000000002</v>
      </c>
      <c r="J6" s="475">
        <f>((D6*$C$26)+(G6*$D$26))/($D$26+$C$26)</f>
        <v>0.33002999999999999</v>
      </c>
      <c r="K6" s="475">
        <f t="shared" ref="K6:K7" si="2">I6+J6</f>
        <v>0.78669999999999995</v>
      </c>
    </row>
    <row r="7" spans="1:20" x14ac:dyDescent="0.3">
      <c r="A7" s="27" t="s">
        <v>210</v>
      </c>
      <c r="B7" s="477" t="s">
        <v>216</v>
      </c>
      <c r="C7" s="475">
        <v>1.1506162773328076E-4</v>
      </c>
      <c r="D7" s="475">
        <v>-2.0731505487585774E-3</v>
      </c>
      <c r="E7" s="475">
        <f t="shared" si="0"/>
        <v>-1.9580889210252966E-3</v>
      </c>
      <c r="F7" s="476">
        <v>1.2448550414992767E-4</v>
      </c>
      <c r="G7" s="476">
        <v>-1.27319E-3</v>
      </c>
      <c r="H7" s="475">
        <f t="shared" si="1"/>
        <v>-1.1487044958500723E-3</v>
      </c>
      <c r="I7" s="475">
        <f>((C7*$C$26)+(F7*$D$26))/($D$26+$C$26)</f>
        <v>1.2448550414992767E-4</v>
      </c>
      <c r="J7" s="475">
        <f>((D7*$C$26)+(G7*$D$26))/($D$26+$C$26)</f>
        <v>-1.27319E-3</v>
      </c>
      <c r="K7" s="475">
        <f t="shared" si="2"/>
        <v>-1.1487044958500723E-3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40" t="s">
        <v>227</v>
      </c>
      <c r="K10" s="440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41" t="s">
        <v>229</v>
      </c>
      <c r="C11" s="441" t="s">
        <v>230</v>
      </c>
      <c r="F11" s="27"/>
      <c r="G11" s="27"/>
      <c r="J11" s="442">
        <f>IF(AND($B$26&lt;$F$2,$E$26&lt;$F$2),#REF!,IF($B$26&lt;$F$2,K15,J15))</f>
        <v>0.198765645709125</v>
      </c>
      <c r="K11" s="443">
        <f>D31*J11</f>
        <v>153.44707848744449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38" t="s">
        <v>201</v>
      </c>
      <c r="C12" s="444">
        <f>J56</f>
        <v>656.72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445" t="s">
        <v>231</v>
      </c>
      <c r="J13" s="445" t="s">
        <v>232</v>
      </c>
      <c r="K13" s="44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46"/>
      <c r="C14" s="447" t="s">
        <v>170</v>
      </c>
      <c r="D14" s="27"/>
      <c r="E14" s="27"/>
      <c r="F14" s="27"/>
      <c r="G14" s="27"/>
      <c r="I14" s="448" t="s">
        <v>234</v>
      </c>
      <c r="J14" s="448" t="s">
        <v>234</v>
      </c>
      <c r="K14" s="44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46" t="s">
        <v>190</v>
      </c>
      <c r="C15" s="444">
        <f>$C$12*(VLOOKUP($B$12,B117:G125,3,0))</f>
        <v>261.17227579090553</v>
      </c>
      <c r="D15" s="27"/>
      <c r="E15" s="27"/>
      <c r="F15" s="27"/>
      <c r="G15" s="27"/>
      <c r="I15" s="449">
        <v>0.19769341067594101</v>
      </c>
      <c r="J15" s="449">
        <v>0.198765645709125</v>
      </c>
      <c r="K15" s="449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46" t="s">
        <v>192</v>
      </c>
      <c r="C16" s="444">
        <f>$C$12*(VLOOKUP($B$12,B117:G125,5,0))</f>
        <v>165.92522543548566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46" t="s">
        <v>191</v>
      </c>
      <c r="C17" s="444">
        <f>$C$12*(VLOOKUP($B$12,B117:G125,4,0))</f>
        <v>55.905107084117397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46" t="s">
        <v>235</v>
      </c>
      <c r="C18" s="444">
        <f>$C$12*(VLOOKUP($B$12,B117:G125,6,0))</f>
        <v>173.71739168949142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46" t="s">
        <v>236</v>
      </c>
      <c r="C19" s="444">
        <f>L56</f>
        <v>173.46613034990432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47" t="s">
        <v>237</v>
      </c>
      <c r="C20" s="450">
        <f>SUM(C15:C19)</f>
        <v>830.18613034990437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243</v>
      </c>
      <c r="J24" s="21" t="s">
        <v>241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f>'B1C ICMS'!B26</f>
        <v>46125</v>
      </c>
      <c r="C26" s="32">
        <f>IF((F2-B26-1)&lt;0,0,(F2-B26-1))</f>
        <v>0</v>
      </c>
      <c r="D26" s="32">
        <f>E26-F2+1</f>
        <v>133</v>
      </c>
      <c r="E26" s="122">
        <f>'B1C ICMS'!E26</f>
        <v>46155</v>
      </c>
      <c r="F26" s="451">
        <f>E26</f>
        <v>46155</v>
      </c>
      <c r="G26" s="25"/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772</v>
      </c>
      <c r="E31" s="171">
        <f>(ROUND(D31*K31,2)+ROUND(G31,2)+ROUND(J31,2))/ROUND(D31,4)</f>
        <v>0.57993523316062179</v>
      </c>
      <c r="F31" s="169">
        <f>ROUND(D31*E31,2)</f>
        <v>447.71</v>
      </c>
      <c r="G31" s="169">
        <f>((D31*K31)/(1-$N$31-$N$32))*($N$31+$N$32)</f>
        <v>14.574825396230343</v>
      </c>
      <c r="H31" s="176">
        <f>ROUND((D31*K31)/(1-$N$31-$N$32)/(1-$I$31),8)</f>
        <v>447.71227486999999</v>
      </c>
      <c r="I31" s="247">
        <v>0.18</v>
      </c>
      <c r="J31" s="176">
        <f>H31*$I$31</f>
        <v>80.588209476599999</v>
      </c>
      <c r="K31" s="267">
        <f>I6</f>
        <v>0.45667000000000002</v>
      </c>
      <c r="L31" s="95" t="s">
        <v>263</v>
      </c>
      <c r="M31" s="169">
        <f>D71</f>
        <v>683.86962407580961</v>
      </c>
      <c r="N31" s="237">
        <f>'B1C ICMS'!N31</f>
        <v>7.1000000000000004E-3</v>
      </c>
      <c r="O31" s="178">
        <f>ROUND(M31*N31,2)</f>
        <v>4.8600000000000003</v>
      </c>
    </row>
    <row r="32" spans="1:25" x14ac:dyDescent="0.3">
      <c r="B32" s="163" t="s">
        <v>289</v>
      </c>
      <c r="C32" s="164" t="s">
        <v>262</v>
      </c>
      <c r="D32" s="184">
        <f>D31</f>
        <v>772</v>
      </c>
      <c r="E32" s="171">
        <f>(ROUND(D32*K32,2)+ROUND(G32,2)+ROUND(J32,2))/ROUND(D32,4)</f>
        <v>0.41910621761658035</v>
      </c>
      <c r="F32" s="169">
        <f t="shared" ref="F32:F36" si="3">ROUND(D32*E32,2)</f>
        <v>323.55</v>
      </c>
      <c r="G32" s="169">
        <f>((D32*K32)/(1-$N$31-$N$32))*($N$31+$N$32)</f>
        <v>10.533053683223992</v>
      </c>
      <c r="H32" s="176">
        <f t="shared" ref="H32:H36" si="4">(D32*K32)/(1-$N$31-$N$32)/(1-$I$31)</f>
        <v>323.55635815027313</v>
      </c>
      <c r="I32" s="163"/>
      <c r="J32" s="176">
        <f t="shared" ref="J32:J36" si="5">H32*$I$31</f>
        <v>58.240144467049163</v>
      </c>
      <c r="K32" s="267">
        <f>J6</f>
        <v>0.33002999999999999</v>
      </c>
      <c r="L32" s="95" t="s">
        <v>265</v>
      </c>
      <c r="M32" s="169">
        <f>M31</f>
        <v>683.86962407580961</v>
      </c>
      <c r="N32" s="237">
        <f>'B1C ICMS'!N32</f>
        <v>3.2599999999999997E-2</v>
      </c>
      <c r="O32" s="178">
        <f>ROUND(M32*N32,2)</f>
        <v>22.29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0</v>
      </c>
      <c r="E33" s="171">
        <f>IFERROR((ROUND(D33*K33,2)+ROUND(G33,2)+ROUND(J33,2))/ROUND(D33,4), 0)</f>
        <v>0</v>
      </c>
      <c r="F33" s="169">
        <f t="shared" si="3"/>
        <v>0</v>
      </c>
      <c r="G33" s="169">
        <f t="shared" ref="G33:G36" si="6">((D33*K33)/(1-$N$31-$N$32))*($N$31+$N$32)</f>
        <v>0</v>
      </c>
      <c r="H33" s="176">
        <f t="shared" si="4"/>
        <v>0</v>
      </c>
      <c r="I33" s="163"/>
      <c r="J33" s="176">
        <f t="shared" si="5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v>734</v>
      </c>
      <c r="E34" s="171">
        <f t="shared" ref="E34:E36" si="7">K34/(1-$N$31-$N$32)/(1-$I$31)</f>
        <v>5.6676902289172847E-2</v>
      </c>
      <c r="F34" s="169">
        <f t="shared" si="3"/>
        <v>41.6</v>
      </c>
      <c r="G34" s="169">
        <f t="shared" si="6"/>
        <v>1.3542739498073517</v>
      </c>
      <c r="H34" s="176">
        <f t="shared" si="4"/>
        <v>41.600846280252867</v>
      </c>
      <c r="I34" s="163"/>
      <c r="J34" s="176">
        <f t="shared" si="5"/>
        <v>7.4881523304455158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v>0</v>
      </c>
      <c r="E35" s="171">
        <f t="shared" si="7"/>
        <v>0.10003225618010632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7"/>
        <v>0.18032982579122883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">
      <c r="B37" s="163"/>
      <c r="C37" s="95"/>
      <c r="D37" s="184"/>
      <c r="E37" s="171"/>
      <c r="F37" s="169"/>
      <c r="G37" s="169"/>
      <c r="H37" s="176"/>
      <c r="I37" s="163"/>
      <c r="J37" s="176"/>
      <c r="K37" s="171"/>
      <c r="O37" s="46"/>
      <c r="R37" s="187"/>
    </row>
    <row r="38" spans="2:19" x14ac:dyDescent="0.3">
      <c r="B38" s="269" t="s">
        <v>426</v>
      </c>
      <c r="C38" s="270">
        <v>1.2E-2</v>
      </c>
      <c r="D38" s="271"/>
      <c r="E38" s="272"/>
      <c r="F38" s="273">
        <f>-SUM(F31:F35)*C38</f>
        <v>-9.7543199999999999</v>
      </c>
      <c r="G38" s="169"/>
      <c r="H38" s="176"/>
      <c r="I38" s="163"/>
      <c r="J38" s="176"/>
      <c r="K38" s="171"/>
      <c r="O38" s="46"/>
      <c r="R38" s="187"/>
    </row>
    <row r="39" spans="2:19" x14ac:dyDescent="0.3">
      <c r="B39" s="269" t="s">
        <v>428</v>
      </c>
      <c r="C39" s="274">
        <v>0.01</v>
      </c>
      <c r="D39" s="271"/>
      <c r="E39" s="272"/>
      <c r="F39" s="273">
        <f>-SUM(F31:F36)*C39</f>
        <v>-8.1286000000000005</v>
      </c>
      <c r="G39" s="169"/>
      <c r="H39" s="176"/>
      <c r="I39" s="163"/>
      <c r="J39" s="176"/>
      <c r="K39" s="171"/>
      <c r="O39" s="46"/>
      <c r="R39" s="187"/>
    </row>
    <row r="40" spans="2:19" x14ac:dyDescent="0.3">
      <c r="B40" s="269" t="s">
        <v>429</v>
      </c>
      <c r="C40" s="270">
        <v>6.4999999999999997E-3</v>
      </c>
      <c r="D40" s="271"/>
      <c r="E40" s="272"/>
      <c r="F40" s="273">
        <f>-SUM(F31:F35)*C40</f>
        <v>-5.2835900000000002</v>
      </c>
      <c r="G40" s="169"/>
      <c r="H40" s="176"/>
      <c r="I40" s="163"/>
      <c r="J40" s="176"/>
      <c r="K40" s="171"/>
      <c r="O40" s="46"/>
      <c r="R40" s="187"/>
    </row>
    <row r="41" spans="2:19" x14ac:dyDescent="0.3">
      <c r="B41" s="269" t="s">
        <v>430</v>
      </c>
      <c r="C41" s="275">
        <v>0.03</v>
      </c>
      <c r="D41" s="271"/>
      <c r="E41" s="272"/>
      <c r="F41" s="273">
        <f>-SUM(F31:F34)*C41</f>
        <v>-24.3858</v>
      </c>
      <c r="G41" s="169"/>
      <c r="H41" s="176"/>
      <c r="I41" s="163"/>
      <c r="J41" s="176"/>
      <c r="K41" s="171"/>
      <c r="O41" s="46"/>
      <c r="R41" s="187"/>
    </row>
    <row r="42" spans="2:19" x14ac:dyDescent="0.3">
      <c r="B42" s="163" t="s">
        <v>271</v>
      </c>
      <c r="C42" s="163"/>
      <c r="D42" s="184"/>
      <c r="E42" s="163"/>
      <c r="F42" s="229"/>
      <c r="G42" s="163"/>
      <c r="H42" s="163"/>
      <c r="I42" s="163"/>
      <c r="J42" s="163"/>
      <c r="K42" s="163"/>
      <c r="O42" s="46"/>
      <c r="R42" s="187"/>
    </row>
    <row r="43" spans="2:19" x14ac:dyDescent="0.3">
      <c r="B43" s="163" t="s">
        <v>271</v>
      </c>
      <c r="C43" s="163"/>
      <c r="D43" s="184"/>
      <c r="E43" s="163"/>
      <c r="F43" s="229"/>
      <c r="G43" s="163"/>
      <c r="H43" s="163"/>
      <c r="I43" s="163"/>
      <c r="J43" s="163"/>
      <c r="K43" s="163"/>
      <c r="O43" s="46"/>
      <c r="R43" s="187"/>
    </row>
    <row r="44" spans="2:19" x14ac:dyDescent="0.3">
      <c r="B44" s="163" t="s">
        <v>271</v>
      </c>
      <c r="C44" s="163"/>
      <c r="D44" s="184"/>
      <c r="E44" s="163"/>
      <c r="F44" s="229">
        <v>0</v>
      </c>
      <c r="G44" s="163"/>
      <c r="H44" s="163"/>
      <c r="I44" s="163"/>
      <c r="J44" s="163"/>
      <c r="K44" s="163"/>
      <c r="O44" s="46"/>
      <c r="R44" s="187"/>
    </row>
    <row r="45" spans="2:19" x14ac:dyDescent="0.3">
      <c r="B45" s="163" t="s">
        <v>271</v>
      </c>
      <c r="C45" s="163"/>
      <c r="D45" s="184"/>
      <c r="E45" s="163"/>
      <c r="F45" s="229">
        <v>0</v>
      </c>
      <c r="G45" s="163"/>
      <c r="H45" s="163"/>
      <c r="I45" s="163"/>
      <c r="J45" s="163"/>
      <c r="K45" s="163"/>
      <c r="O45" s="46"/>
      <c r="R45" s="187"/>
    </row>
    <row r="46" spans="2:19" x14ac:dyDescent="0.3">
      <c r="B46" s="163" t="s">
        <v>272</v>
      </c>
      <c r="C46" s="163"/>
      <c r="D46" s="184"/>
      <c r="E46" s="163"/>
      <c r="F46" s="229">
        <v>59.33</v>
      </c>
      <c r="G46" s="163"/>
      <c r="H46" s="163"/>
      <c r="I46" s="163"/>
      <c r="J46" s="163"/>
      <c r="K46" s="163"/>
      <c r="O46" s="46"/>
    </row>
    <row r="47" spans="2:19" x14ac:dyDescent="0.3"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O47" s="46"/>
    </row>
    <row r="48" spans="2:19" x14ac:dyDescent="0.3">
      <c r="B48" s="163"/>
      <c r="C48" s="163"/>
      <c r="D48" s="184"/>
      <c r="E48" s="163"/>
      <c r="F48" s="163"/>
      <c r="G48" s="163"/>
      <c r="H48" s="163"/>
      <c r="I48" s="163"/>
      <c r="J48" s="163"/>
      <c r="K48" s="163"/>
      <c r="O48" s="46"/>
    </row>
    <row r="49" spans="1:25" x14ac:dyDescent="0.3">
      <c r="B49" s="170" t="s">
        <v>177</v>
      </c>
      <c r="C49" s="166"/>
      <c r="D49" s="185"/>
      <c r="E49" s="166"/>
      <c r="F49" s="172">
        <f>SUM(F31:F48)</f>
        <v>824.63769000000002</v>
      </c>
      <c r="G49" s="175">
        <f>SUM(G31:G48)</f>
        <v>26.462153029261685</v>
      </c>
      <c r="H49" s="177">
        <f>SUM(H31:H48)</f>
        <v>812.869479300526</v>
      </c>
      <c r="I49" s="166"/>
      <c r="J49" s="177">
        <f>SUM(J31:J48)</f>
        <v>146.31650627409471</v>
      </c>
      <c r="K49" s="166"/>
      <c r="L49" s="53"/>
      <c r="M49" s="53"/>
      <c r="N49" s="53"/>
      <c r="O49" s="241">
        <f>F49</f>
        <v>824.63769000000002</v>
      </c>
    </row>
    <row r="51" spans="1:25" x14ac:dyDescent="0.3">
      <c r="B51" s="238" t="s">
        <v>273</v>
      </c>
      <c r="C51" s="239"/>
      <c r="D51" s="240"/>
      <c r="E51" s="240"/>
      <c r="F51" s="251">
        <f>D31*(I7+J7)</f>
        <v>-0.88679987079625588</v>
      </c>
    </row>
    <row r="55" spans="1:25" s="1" customFormat="1" x14ac:dyDescent="0.3">
      <c r="A55" s="1" t="s">
        <v>210</v>
      </c>
      <c r="B55" s="784" t="s">
        <v>290</v>
      </c>
      <c r="C55" s="785"/>
      <c r="D55" s="785"/>
      <c r="E55" s="785"/>
      <c r="F55" s="785"/>
      <c r="G55" s="785"/>
      <c r="H55" s="786"/>
      <c r="I55"/>
      <c r="J55" s="775" t="s">
        <v>278</v>
      </c>
      <c r="K55" s="775"/>
      <c r="L55" s="775" t="s">
        <v>279</v>
      </c>
      <c r="M55" s="77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26" t="s">
        <v>275</v>
      </c>
      <c r="E56" s="26" t="s">
        <v>6</v>
      </c>
      <c r="F56" s="26" t="s">
        <v>7</v>
      </c>
      <c r="G56" s="26" t="s">
        <v>218</v>
      </c>
      <c r="H56" s="95" t="s">
        <v>170</v>
      </c>
      <c r="I56"/>
      <c r="J56" s="800">
        <f>SUM(H59:H65)</f>
        <v>656.72</v>
      </c>
      <c r="K56" s="801"/>
      <c r="L56" s="800">
        <f>SUM(H71:H73)</f>
        <v>173.46613034990432</v>
      </c>
      <c r="M56" s="801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112" t="s">
        <v>291</v>
      </c>
      <c r="C57" s="113"/>
      <c r="D57" s="114"/>
      <c r="E57" s="114"/>
      <c r="F57" s="114"/>
      <c r="G57" s="114"/>
      <c r="H57" s="115">
        <f>H59+SUM(H62:H65)+SUM(H71:H73)</f>
        <v>830.18613034990437</v>
      </c>
      <c r="I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/>
      <c r="C58" s="27"/>
      <c r="D58" s="26"/>
      <c r="E58" s="26"/>
      <c r="F58" s="26"/>
      <c r="G58" s="26"/>
      <c r="H58" s="39"/>
      <c r="I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292</v>
      </c>
      <c r="C59" s="27"/>
      <c r="D59" s="123">
        <f>D31</f>
        <v>772</v>
      </c>
      <c r="E59" s="41">
        <f>IF(AND($B$26&lt;$F$2,$E$26&lt;$F$2),C6,IF($B$26&lt;$F$2,I6,F6))</f>
        <v>0.45667000000000002</v>
      </c>
      <c r="F59" s="41">
        <f>IF(AND($B$26&lt;$F$2,$E$26&lt;$F$2),D6,IF($B$26&lt;$F$2,J6,G6))</f>
        <v>0.33002999999999999</v>
      </c>
      <c r="G59" s="41">
        <f>E59+F59</f>
        <v>0.78669999999999995</v>
      </c>
      <c r="H59" s="42">
        <f>ROUND((D59*E59),2)+ROUND((D59*F59),2)</f>
        <v>607.33000000000004</v>
      </c>
      <c r="I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/>
      <c r="C60" s="27"/>
      <c r="D60" s="40"/>
      <c r="E60" s="43"/>
      <c r="F60" s="44"/>
      <c r="G60" s="44"/>
      <c r="H60" s="42"/>
      <c r="I60"/>
      <c r="J60"/>
      <c r="K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6"/>
      <c r="I61"/>
      <c r="J61"/>
      <c r="K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38" t="s">
        <v>268</v>
      </c>
      <c r="C62" s="27"/>
      <c r="D62" s="47">
        <f>IF($I$24=$M$23,(D59*(I26)/(I26+J26)),0)+IF($J$24=$M$23,(D59*(J26)/(I26+J26)),0)</f>
        <v>0</v>
      </c>
      <c r="E62" s="27"/>
      <c r="F62" s="48">
        <f>N23</f>
        <v>1.8849999999999999E-2</v>
      </c>
      <c r="G62" s="48"/>
      <c r="H62" s="42">
        <f>ROUND(D62*(E62+F62),2)</f>
        <v>0</v>
      </c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38" t="s">
        <v>269</v>
      </c>
      <c r="C63" s="27"/>
      <c r="D63" s="47">
        <f>IF($I$24=$M$24,(D59*(I26)/(I26+J26)),0)+IF($J$24=$M$24,(D59*(J26)/(I26+J26)),0)</f>
        <v>334.53333333333336</v>
      </c>
      <c r="E63" s="27"/>
      <c r="F63" s="48">
        <f>N24</f>
        <v>4.4630000000000003E-2</v>
      </c>
      <c r="G63" s="48"/>
      <c r="H63" s="42">
        <f>ROUND(D63*(E63+F63),2)</f>
        <v>14.93</v>
      </c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38" t="s">
        <v>270</v>
      </c>
      <c r="C64" s="27"/>
      <c r="D64" s="47">
        <f>IF($I$24=$M$25,(D59*(I26)/(I26+J26)),0)+IF($J$24=$M$25,(D59*(J26)/(I26+J26)),0)</f>
        <v>437.46666666666664</v>
      </c>
      <c r="E64" s="27"/>
      <c r="F64" s="48">
        <f>N25</f>
        <v>7.8770000000000007E-2</v>
      </c>
      <c r="G64" s="48"/>
      <c r="H64" s="42">
        <f>ROUND(D64*(E64+F64),2)</f>
        <v>34.46</v>
      </c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 t="s">
        <v>280</v>
      </c>
      <c r="C65" s="27"/>
      <c r="D65" s="47">
        <f>IF($I$24=$M$26,(D59*(I26)/(I26+J26)),0)+IF($J$24=$M$26,(D59*(J26)/(I26+J26)),0)</f>
        <v>0</v>
      </c>
      <c r="E65" s="27"/>
      <c r="F65" s="48">
        <f>N26</f>
        <v>0.14199999999999999</v>
      </c>
      <c r="G65" s="48"/>
      <c r="H65" s="42">
        <f>ROUND(D65*(E65+F65),2)</f>
        <v>0</v>
      </c>
      <c r="I65"/>
      <c r="J65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/>
      <c r="C66" s="27"/>
      <c r="D66" s="45"/>
      <c r="E66" s="27"/>
      <c r="F66" s="27"/>
      <c r="G66" s="27"/>
      <c r="H66" s="42"/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50"/>
      <c r="C67" s="30"/>
      <c r="D67" s="30"/>
      <c r="E67" s="30"/>
      <c r="F67" s="30"/>
      <c r="G67" s="30"/>
      <c r="H67" s="51"/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52"/>
      <c r="C68" s="53"/>
      <c r="D68" s="54"/>
      <c r="E68" s="55"/>
      <c r="F68" s="53"/>
      <c r="G68" s="53"/>
      <c r="H68" s="56"/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7"/>
      <c r="C69" s="58"/>
      <c r="D69" s="58"/>
      <c r="E69" s="58"/>
      <c r="F69" s="58"/>
      <c r="G69" s="58"/>
      <c r="H69" s="59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B70" s="38"/>
      <c r="C70" s="27"/>
      <c r="D70" s="23" t="s">
        <v>286</v>
      </c>
      <c r="E70" s="37"/>
      <c r="F70" s="37"/>
      <c r="G70" s="37"/>
      <c r="H70" s="60"/>
      <c r="I70"/>
      <c r="J70"/>
      <c r="K70" s="4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s="1" customFormat="1" x14ac:dyDescent="0.3">
      <c r="B71" s="38" t="s">
        <v>282</v>
      </c>
      <c r="C71" s="27"/>
      <c r="D71" s="62">
        <f>(H59+H62+H63+H64+H65)/(1-(E71+E72))</f>
        <v>683.86962407580961</v>
      </c>
      <c r="E71" s="215">
        <f>N31</f>
        <v>7.1000000000000004E-3</v>
      </c>
      <c r="F71" s="27"/>
      <c r="G71" s="27"/>
      <c r="H71" s="42">
        <f>D71*E71</f>
        <v>4.8554743309382484</v>
      </c>
      <c r="I71"/>
      <c r="J71"/>
      <c r="L71"/>
      <c r="M71"/>
      <c r="N71"/>
      <c r="O71"/>
      <c r="P71" s="27"/>
      <c r="Q71" s="27"/>
      <c r="R71" s="27"/>
      <c r="S71" s="27"/>
      <c r="T71" s="27"/>
      <c r="U71" s="27"/>
      <c r="V71" s="27"/>
      <c r="W71" s="27"/>
      <c r="X71" s="27"/>
      <c r="Y71" s="27"/>
    </row>
    <row r="72" spans="2:25" s="1" customFormat="1" x14ac:dyDescent="0.3">
      <c r="B72" s="38" t="s">
        <v>265</v>
      </c>
      <c r="C72" s="27"/>
      <c r="D72" s="62">
        <f>D71</f>
        <v>683.86962407580961</v>
      </c>
      <c r="E72" s="215">
        <f>N32</f>
        <v>3.2599999999999997E-2</v>
      </c>
      <c r="F72" s="27"/>
      <c r="G72" s="27"/>
      <c r="H72" s="42">
        <f>D72*E72</f>
        <v>22.29414974487139</v>
      </c>
      <c r="I72"/>
      <c r="J72"/>
      <c r="L72"/>
      <c r="M72"/>
      <c r="N72"/>
      <c r="O72"/>
      <c r="P72" s="27"/>
      <c r="Q72" s="27"/>
      <c r="R72" s="27"/>
      <c r="S72" s="27"/>
      <c r="T72" s="27"/>
      <c r="U72" s="27"/>
      <c r="V72" s="27"/>
      <c r="W72" s="27"/>
      <c r="X72" s="27"/>
      <c r="Y72" s="27"/>
    </row>
    <row r="73" spans="2:25" s="1" customFormat="1" x14ac:dyDescent="0.3">
      <c r="B73" s="38" t="s">
        <v>283</v>
      </c>
      <c r="C73" s="27"/>
      <c r="D73" s="62">
        <f>SUM(H31:H35)</f>
        <v>812.869479300526</v>
      </c>
      <c r="E73" s="249">
        <f>I31</f>
        <v>0.18</v>
      </c>
      <c r="F73" s="27"/>
      <c r="G73" s="27"/>
      <c r="H73" s="42">
        <f>D73*E73</f>
        <v>146.31650627409468</v>
      </c>
      <c r="I73"/>
      <c r="J73"/>
      <c r="L73"/>
      <c r="M73"/>
      <c r="N73"/>
      <c r="O73"/>
      <c r="P73" s="27"/>
      <c r="Q73" s="27"/>
      <c r="R73" s="27"/>
      <c r="S73" s="27"/>
      <c r="T73" s="27"/>
      <c r="U73" s="27"/>
      <c r="V73" s="27"/>
      <c r="W73" s="27"/>
      <c r="X73" s="27"/>
      <c r="Y73" s="27"/>
    </row>
    <row r="74" spans="2:25" s="1" customFormat="1" x14ac:dyDescent="0.3">
      <c r="B74" s="52"/>
      <c r="C74" s="53"/>
      <c r="D74" s="53"/>
      <c r="E74" s="53"/>
      <c r="F74" s="53"/>
      <c r="G74" s="53"/>
      <c r="H74" s="63"/>
      <c r="I74"/>
      <c r="J74"/>
      <c r="L74"/>
      <c r="M74"/>
      <c r="N74"/>
      <c r="O74"/>
      <c r="P74" s="27"/>
      <c r="Q74" s="27"/>
      <c r="R74" s="27"/>
      <c r="S74" s="27"/>
      <c r="T74" s="27"/>
      <c r="U74" s="27"/>
      <c r="V74" s="27"/>
      <c r="W74" s="27"/>
      <c r="X74" s="27"/>
      <c r="Y74" s="27"/>
    </row>
    <row r="75" spans="2:25" s="1" customFormat="1" x14ac:dyDescent="0.3">
      <c r="I75"/>
      <c r="J75"/>
      <c r="L75"/>
      <c r="M75"/>
      <c r="N75"/>
      <c r="O75"/>
      <c r="P75" s="27"/>
      <c r="Q75" s="27"/>
      <c r="R75" s="27"/>
      <c r="S75" s="27"/>
      <c r="T75" s="27"/>
      <c r="U75" s="27"/>
      <c r="V75" s="27"/>
      <c r="W75" s="27"/>
      <c r="X75" s="27"/>
      <c r="Y75" s="27"/>
    </row>
    <row r="76" spans="2:25" hidden="1" x14ac:dyDescent="0.3">
      <c r="B76" s="35" t="s">
        <v>196</v>
      </c>
      <c r="C76" s="35"/>
      <c r="D76" s="1"/>
      <c r="E76" s="1"/>
      <c r="F76" s="1"/>
      <c r="G76" s="1"/>
      <c r="H76" s="1"/>
      <c r="L76" s="25"/>
      <c r="M76" s="25"/>
      <c r="N76" s="25"/>
      <c r="O76" s="25"/>
    </row>
    <row r="77" spans="2:25" hidden="1" x14ac:dyDescent="0.3">
      <c r="B77" s="35" t="s">
        <v>197</v>
      </c>
      <c r="C77" s="35"/>
      <c r="D77" s="37"/>
      <c r="E77" s="37" t="s">
        <v>210</v>
      </c>
      <c r="F77" s="37"/>
      <c r="G77" s="37"/>
      <c r="H77" s="61"/>
    </row>
    <row r="78" spans="2:25" hidden="1" x14ac:dyDescent="0.3">
      <c r="B78" s="35" t="s">
        <v>198</v>
      </c>
      <c r="C78" s="35"/>
    </row>
    <row r="79" spans="2:25" hidden="1" x14ac:dyDescent="0.3">
      <c r="B79" s="35" t="s">
        <v>199</v>
      </c>
      <c r="C79" s="35"/>
    </row>
    <row r="80" spans="2:25" hidden="1" x14ac:dyDescent="0.3">
      <c r="B80" s="35" t="s">
        <v>200</v>
      </c>
      <c r="C80" s="35"/>
    </row>
    <row r="81" spans="2:10" hidden="1" x14ac:dyDescent="0.3">
      <c r="B81" s="35" t="s">
        <v>201</v>
      </c>
      <c r="C81" s="35"/>
    </row>
    <row r="82" spans="2:10" hidden="1" x14ac:dyDescent="0.3">
      <c r="B82" s="35" t="s">
        <v>202</v>
      </c>
      <c r="C82" s="35"/>
    </row>
    <row r="83" spans="2:10" hidden="1" x14ac:dyDescent="0.3">
      <c r="B83" s="35" t="s">
        <v>203</v>
      </c>
      <c r="C83" s="35"/>
    </row>
    <row r="84" spans="2:10" hidden="1" x14ac:dyDescent="0.3">
      <c r="B84" s="35" t="s">
        <v>204</v>
      </c>
      <c r="C84" s="35"/>
    </row>
    <row r="85" spans="2:10" hidden="1" x14ac:dyDescent="0.3">
      <c r="E85" s="142"/>
    </row>
    <row r="86" spans="2:10" x14ac:dyDescent="0.3">
      <c r="B86" s="35">
        <v>2025</v>
      </c>
      <c r="C86" s="35"/>
      <c r="D86" s="305" t="s">
        <v>190</v>
      </c>
      <c r="E86" s="305" t="s">
        <v>191</v>
      </c>
      <c r="F86" s="305" t="s">
        <v>192</v>
      </c>
      <c r="G86" s="305" t="s">
        <v>193</v>
      </c>
    </row>
    <row r="87" spans="2:10" x14ac:dyDescent="0.3">
      <c r="B87" s="35" t="s">
        <v>194</v>
      </c>
      <c r="C87" s="35"/>
      <c r="D87" s="305" t="s">
        <v>195</v>
      </c>
      <c r="E87" s="305" t="s">
        <v>195</v>
      </c>
      <c r="F87" s="305" t="s">
        <v>195</v>
      </c>
      <c r="G87" s="305" t="s">
        <v>195</v>
      </c>
    </row>
    <row r="88" spans="2:10" x14ac:dyDescent="0.3">
      <c r="B88" s="35"/>
      <c r="C88" s="35"/>
      <c r="D88" s="305"/>
      <c r="E88" s="305"/>
      <c r="F88" s="305"/>
      <c r="G88" s="305"/>
    </row>
    <row r="89" spans="2:10" x14ac:dyDescent="0.3">
      <c r="B89" s="35" t="s">
        <v>196</v>
      </c>
      <c r="C89" s="35"/>
      <c r="D89" s="306">
        <v>0.39769197799808981</v>
      </c>
      <c r="E89" s="306">
        <v>8.512776690845017E-2</v>
      </c>
      <c r="F89" s="306">
        <v>0.25265748787228293</v>
      </c>
      <c r="G89" s="306">
        <v>0.26452276722117707</v>
      </c>
    </row>
    <row r="90" spans="2:10" x14ac:dyDescent="0.3">
      <c r="B90" s="35" t="s">
        <v>197</v>
      </c>
      <c r="C90" s="35"/>
      <c r="D90" s="306">
        <v>0.51666134768573579</v>
      </c>
      <c r="E90" s="306">
        <v>0.11059369866547396</v>
      </c>
      <c r="F90" s="306">
        <v>0.32823985750000007</v>
      </c>
      <c r="G90" s="306">
        <v>4.4505096148790169E-2</v>
      </c>
    </row>
    <row r="91" spans="2:10" x14ac:dyDescent="0.3">
      <c r="B91" s="35" t="s">
        <v>198</v>
      </c>
      <c r="C91" s="35"/>
      <c r="D91" s="306">
        <v>0.39769197799808981</v>
      </c>
      <c r="E91" s="306">
        <v>8.512776690845017E-2</v>
      </c>
      <c r="F91" s="306">
        <v>0.25265748787228293</v>
      </c>
      <c r="G91" s="306">
        <v>0.26452276722117707</v>
      </c>
    </row>
    <row r="92" spans="2:10" x14ac:dyDescent="0.3">
      <c r="B92" s="35" t="s">
        <v>199</v>
      </c>
      <c r="C92" s="35"/>
      <c r="D92" s="306">
        <v>0.39769197799808981</v>
      </c>
      <c r="E92" s="306">
        <v>8.512776690845017E-2</v>
      </c>
      <c r="F92" s="306">
        <v>0.25265748787228293</v>
      </c>
      <c r="G92" s="306">
        <v>0.26452276722117707</v>
      </c>
      <c r="J92" s="30"/>
    </row>
    <row r="93" spans="2:10" x14ac:dyDescent="0.3">
      <c r="B93" s="35" t="s">
        <v>200</v>
      </c>
      <c r="C93" s="35"/>
      <c r="D93" s="306">
        <v>0.39769197799808981</v>
      </c>
      <c r="E93" s="306">
        <v>8.512776690845017E-2</v>
      </c>
      <c r="F93" s="306">
        <v>0.25265748787228293</v>
      </c>
      <c r="G93" s="306">
        <v>0.26452276722117707</v>
      </c>
    </row>
    <row r="94" spans="2:10" x14ac:dyDescent="0.3">
      <c r="B94" s="35" t="s">
        <v>201</v>
      </c>
      <c r="C94" s="35"/>
      <c r="D94" s="306">
        <v>0.39769197799808981</v>
      </c>
      <c r="E94" s="306">
        <v>8.512776690845017E-2</v>
      </c>
      <c r="F94" s="306">
        <v>0.25265748787228293</v>
      </c>
      <c r="G94" s="306">
        <v>0.26452276722117707</v>
      </c>
    </row>
    <row r="95" spans="2:10" x14ac:dyDescent="0.3">
      <c r="B95" s="35" t="s">
        <v>202</v>
      </c>
      <c r="C95" s="35"/>
      <c r="D95" s="306">
        <v>0.39769197799808981</v>
      </c>
      <c r="E95" s="306">
        <v>8.512776690845017E-2</v>
      </c>
      <c r="F95" s="306">
        <v>0.25265748787228293</v>
      </c>
      <c r="G95" s="306">
        <v>0.26452276722117707</v>
      </c>
    </row>
    <row r="96" spans="2:10" x14ac:dyDescent="0.3">
      <c r="B96" s="35" t="s">
        <v>203</v>
      </c>
      <c r="C96" s="35"/>
      <c r="D96" s="306">
        <v>0.39769197799808981</v>
      </c>
      <c r="E96" s="306">
        <v>8.512776690845017E-2</v>
      </c>
      <c r="F96" s="306">
        <v>0.25265748787228293</v>
      </c>
      <c r="G96" s="306">
        <v>0.26452276722117707</v>
      </c>
    </row>
    <row r="97" spans="2:7" x14ac:dyDescent="0.3">
      <c r="B97" s="35" t="s">
        <v>204</v>
      </c>
      <c r="C97" s="35"/>
      <c r="D97" s="306">
        <v>0.39769197799808981</v>
      </c>
      <c r="E97" s="306">
        <v>8.512776690845017E-2</v>
      </c>
      <c r="F97" s="306">
        <v>0.25265748787228293</v>
      </c>
      <c r="G97" s="306">
        <v>0.26452276722117707</v>
      </c>
    </row>
    <row r="98" spans="2:7" x14ac:dyDescent="0.3">
      <c r="B98" s="64"/>
      <c r="C98" s="64"/>
      <c r="D98" s="119"/>
      <c r="E98" s="119"/>
      <c r="F98" s="119"/>
      <c r="G98" s="119"/>
    </row>
    <row r="99" spans="2:7" x14ac:dyDescent="0.3">
      <c r="B99" s="64"/>
      <c r="C99" s="64"/>
      <c r="D99" s="119"/>
      <c r="E99" s="119"/>
      <c r="F99" s="119"/>
      <c r="G99" s="119"/>
    </row>
    <row r="100" spans="2:7" x14ac:dyDescent="0.3">
      <c r="B100" s="35">
        <v>2025</v>
      </c>
      <c r="C100" s="35"/>
      <c r="D100" s="305" t="s">
        <v>190</v>
      </c>
      <c r="E100" s="305" t="s">
        <v>191</v>
      </c>
      <c r="F100" s="305" t="s">
        <v>192</v>
      </c>
      <c r="G100" s="305" t="s">
        <v>193</v>
      </c>
    </row>
    <row r="101" spans="2:7" x14ac:dyDescent="0.3">
      <c r="B101" s="35" t="s">
        <v>194</v>
      </c>
      <c r="C101" s="35"/>
      <c r="D101" s="305" t="s">
        <v>195</v>
      </c>
      <c r="E101" s="305" t="s">
        <v>195</v>
      </c>
      <c r="F101" s="305" t="s">
        <v>195</v>
      </c>
      <c r="G101" s="305" t="s">
        <v>195</v>
      </c>
    </row>
    <row r="102" spans="2:7" x14ac:dyDescent="0.3">
      <c r="B102" s="35"/>
      <c r="C102" s="35"/>
      <c r="D102" s="305"/>
      <c r="E102" s="305"/>
      <c r="F102" s="305"/>
      <c r="G102" s="305"/>
    </row>
    <row r="103" spans="2:7" x14ac:dyDescent="0.3">
      <c r="B103" s="35" t="s">
        <v>196</v>
      </c>
      <c r="C103" s="35"/>
      <c r="D103" s="306">
        <v>0.41273682960000002</v>
      </c>
      <c r="E103" s="306">
        <v>9.8534926200000011E-2</v>
      </c>
      <c r="F103" s="306">
        <v>0.2916348184</v>
      </c>
      <c r="G103" s="306">
        <v>0.19709700829999999</v>
      </c>
    </row>
    <row r="104" spans="2:7" x14ac:dyDescent="0.3">
      <c r="B104" s="35" t="s">
        <v>197</v>
      </c>
      <c r="C104" s="35"/>
      <c r="D104" s="306">
        <v>0.49306718250000003</v>
      </c>
      <c r="E104" s="306">
        <v>0.11771263169999999</v>
      </c>
      <c r="F104" s="306">
        <v>0.34839526770000001</v>
      </c>
      <c r="G104" s="306">
        <v>4.0810691699999999E-2</v>
      </c>
    </row>
    <row r="105" spans="2:7" x14ac:dyDescent="0.3">
      <c r="B105" s="35" t="s">
        <v>198</v>
      </c>
      <c r="C105" s="35"/>
      <c r="D105" s="306">
        <v>0.41273682960000002</v>
      </c>
      <c r="E105" s="306">
        <v>9.8534926200000011E-2</v>
      </c>
      <c r="F105" s="306">
        <v>0.2916348184</v>
      </c>
      <c r="G105" s="306">
        <v>0.19709700829999999</v>
      </c>
    </row>
    <row r="106" spans="2:7" x14ac:dyDescent="0.3">
      <c r="B106" s="35" t="s">
        <v>199</v>
      </c>
      <c r="C106" s="35"/>
      <c r="D106" s="306">
        <v>0.41273682960000002</v>
      </c>
      <c r="E106" s="306">
        <v>9.8534926200000011E-2</v>
      </c>
      <c r="F106" s="306">
        <v>0.2916348184</v>
      </c>
      <c r="G106" s="306">
        <v>0.19709700829999999</v>
      </c>
    </row>
    <row r="107" spans="2:7" x14ac:dyDescent="0.3">
      <c r="B107" s="35" t="s">
        <v>200</v>
      </c>
      <c r="C107" s="35"/>
      <c r="D107" s="306">
        <v>0.41273682960000002</v>
      </c>
      <c r="E107" s="306">
        <v>9.8534926200000011E-2</v>
      </c>
      <c r="F107" s="306">
        <v>0.2916348184</v>
      </c>
      <c r="G107" s="306">
        <v>0.19709700829999999</v>
      </c>
    </row>
    <row r="108" spans="2:7" x14ac:dyDescent="0.3">
      <c r="B108" s="35" t="s">
        <v>201</v>
      </c>
      <c r="C108" s="35"/>
      <c r="D108" s="306">
        <v>0.41273682960000002</v>
      </c>
      <c r="E108" s="306">
        <v>9.8534926200000011E-2</v>
      </c>
      <c r="F108" s="306">
        <v>0.2916348184</v>
      </c>
      <c r="G108" s="306">
        <v>0.19709700829999999</v>
      </c>
    </row>
    <row r="109" spans="2:7" x14ac:dyDescent="0.3">
      <c r="B109" s="35" t="s">
        <v>202</v>
      </c>
      <c r="C109" s="35"/>
      <c r="D109" s="306">
        <v>0.41273480010000002</v>
      </c>
      <c r="E109" s="306">
        <v>9.8534441600000008E-2</v>
      </c>
      <c r="F109" s="306">
        <v>0.29163338430000002</v>
      </c>
      <c r="G109" s="306">
        <v>0.19709603919999999</v>
      </c>
    </row>
    <row r="110" spans="2:7" x14ac:dyDescent="0.3">
      <c r="B110" s="35" t="s">
        <v>203</v>
      </c>
      <c r="C110" s="35"/>
      <c r="D110" s="306">
        <v>0.41274125779999998</v>
      </c>
      <c r="E110" s="306">
        <v>9.8535983300000005E-2</v>
      </c>
      <c r="F110" s="306">
        <v>0.29163794719999997</v>
      </c>
      <c r="G110" s="306">
        <v>0.19709912289999998</v>
      </c>
    </row>
    <row r="111" spans="2:7" x14ac:dyDescent="0.3">
      <c r="B111" s="35" t="s">
        <v>204</v>
      </c>
      <c r="C111" s="35"/>
      <c r="D111" s="306">
        <v>0.41273480010000002</v>
      </c>
      <c r="E111" s="306">
        <v>9.8534441600000008E-2</v>
      </c>
      <c r="F111" s="306">
        <v>0.29163338430000002</v>
      </c>
      <c r="G111" s="306">
        <v>0.19709603919999999</v>
      </c>
    </row>
    <row r="112" spans="2:7" x14ac:dyDescent="0.3">
      <c r="B112" s="64"/>
      <c r="C112" s="64"/>
      <c r="D112" s="119"/>
      <c r="E112" s="119"/>
      <c r="F112" s="119"/>
      <c r="G112" s="119"/>
    </row>
    <row r="113" spans="2:7" x14ac:dyDescent="0.3">
      <c r="B113" s="135" t="s">
        <v>284</v>
      </c>
      <c r="C113" s="64"/>
      <c r="D113" s="119"/>
      <c r="E113" s="119"/>
      <c r="F113" s="119"/>
      <c r="G113" s="119"/>
    </row>
    <row r="114" spans="2:7" x14ac:dyDescent="0.3">
      <c r="B114" s="35"/>
      <c r="C114" s="35"/>
      <c r="D114" s="305" t="s">
        <v>190</v>
      </c>
      <c r="E114" s="305" t="s">
        <v>191</v>
      </c>
      <c r="F114" s="305" t="s">
        <v>192</v>
      </c>
      <c r="G114" s="305" t="s">
        <v>193</v>
      </c>
    </row>
    <row r="115" spans="2:7" x14ac:dyDescent="0.3">
      <c r="B115" s="35" t="s">
        <v>194</v>
      </c>
      <c r="C115" s="35"/>
      <c r="D115" s="306" t="s">
        <v>195</v>
      </c>
      <c r="E115" s="306" t="s">
        <v>195</v>
      </c>
      <c r="F115" s="306" t="s">
        <v>195</v>
      </c>
      <c r="G115" s="306" t="s">
        <v>195</v>
      </c>
    </row>
    <row r="116" spans="2:7" x14ac:dyDescent="0.3">
      <c r="B116" s="35"/>
      <c r="C116" s="35"/>
      <c r="D116" s="306"/>
      <c r="E116" s="306"/>
      <c r="F116" s="306"/>
      <c r="G116" s="306"/>
    </row>
    <row r="117" spans="2:7" x14ac:dyDescent="0.3">
      <c r="B117" s="35" t="s">
        <v>196</v>
      </c>
      <c r="C117" s="35"/>
      <c r="D117" s="306">
        <f t="shared" ref="D117:G125" si="8">((D103*$C$26)+(D89*$D$26))/($C$26+$D$26)</f>
        <v>0.39769197799808981</v>
      </c>
      <c r="E117" s="306">
        <f t="shared" si="8"/>
        <v>8.512776690845017E-2</v>
      </c>
      <c r="F117" s="306">
        <f t="shared" si="8"/>
        <v>0.25265748787228293</v>
      </c>
      <c r="G117" s="306">
        <f t="shared" si="8"/>
        <v>0.26452276722117707</v>
      </c>
    </row>
    <row r="118" spans="2:7" x14ac:dyDescent="0.3">
      <c r="B118" s="35" t="s">
        <v>197</v>
      </c>
      <c r="C118" s="35"/>
      <c r="D118" s="306">
        <f t="shared" si="8"/>
        <v>0.51666134768573579</v>
      </c>
      <c r="E118" s="306">
        <f t="shared" si="8"/>
        <v>0.11059369866547396</v>
      </c>
      <c r="F118" s="306">
        <f t="shared" si="8"/>
        <v>0.32823985750000007</v>
      </c>
      <c r="G118" s="306">
        <f t="shared" si="8"/>
        <v>4.4505096148790169E-2</v>
      </c>
    </row>
    <row r="119" spans="2:7" x14ac:dyDescent="0.3">
      <c r="B119" s="35" t="s">
        <v>198</v>
      </c>
      <c r="C119" s="35"/>
      <c r="D119" s="306">
        <f t="shared" si="8"/>
        <v>0.39769197799808981</v>
      </c>
      <c r="E119" s="306">
        <f t="shared" si="8"/>
        <v>8.512776690845017E-2</v>
      </c>
      <c r="F119" s="306">
        <f t="shared" si="8"/>
        <v>0.25265748787228293</v>
      </c>
      <c r="G119" s="306">
        <f t="shared" si="8"/>
        <v>0.26452276722117707</v>
      </c>
    </row>
    <row r="120" spans="2:7" x14ac:dyDescent="0.3">
      <c r="B120" s="35" t="s">
        <v>199</v>
      </c>
      <c r="C120" s="35"/>
      <c r="D120" s="306">
        <f t="shared" si="8"/>
        <v>0.39769197799808981</v>
      </c>
      <c r="E120" s="306">
        <f t="shared" si="8"/>
        <v>8.512776690845017E-2</v>
      </c>
      <c r="F120" s="306">
        <f t="shared" si="8"/>
        <v>0.25265748787228293</v>
      </c>
      <c r="G120" s="306">
        <f t="shared" si="8"/>
        <v>0.26452276722117707</v>
      </c>
    </row>
    <row r="121" spans="2:7" x14ac:dyDescent="0.3">
      <c r="B121" s="35" t="s">
        <v>200</v>
      </c>
      <c r="C121" s="35"/>
      <c r="D121" s="306">
        <f t="shared" si="8"/>
        <v>0.39769197799808981</v>
      </c>
      <c r="E121" s="306">
        <f t="shared" si="8"/>
        <v>8.512776690845017E-2</v>
      </c>
      <c r="F121" s="306">
        <f t="shared" si="8"/>
        <v>0.25265748787228293</v>
      </c>
      <c r="G121" s="306">
        <f t="shared" si="8"/>
        <v>0.26452276722117707</v>
      </c>
    </row>
    <row r="122" spans="2:7" x14ac:dyDescent="0.3">
      <c r="B122" s="35" t="s">
        <v>201</v>
      </c>
      <c r="C122" s="35"/>
      <c r="D122" s="306">
        <f t="shared" si="8"/>
        <v>0.39769197799808981</v>
      </c>
      <c r="E122" s="306">
        <f t="shared" si="8"/>
        <v>8.512776690845017E-2</v>
      </c>
      <c r="F122" s="306">
        <f t="shared" si="8"/>
        <v>0.25265748787228293</v>
      </c>
      <c r="G122" s="306">
        <f t="shared" si="8"/>
        <v>0.26452276722117707</v>
      </c>
    </row>
    <row r="123" spans="2:7" x14ac:dyDescent="0.3">
      <c r="B123" s="35" t="s">
        <v>202</v>
      </c>
      <c r="C123" s="35"/>
      <c r="D123" s="306">
        <f t="shared" si="8"/>
        <v>0.39769197799808981</v>
      </c>
      <c r="E123" s="306">
        <f t="shared" si="8"/>
        <v>8.512776690845017E-2</v>
      </c>
      <c r="F123" s="306">
        <f t="shared" si="8"/>
        <v>0.25265748787228293</v>
      </c>
      <c r="G123" s="306">
        <f t="shared" si="8"/>
        <v>0.26452276722117707</v>
      </c>
    </row>
    <row r="124" spans="2:7" x14ac:dyDescent="0.3">
      <c r="B124" s="35" t="s">
        <v>203</v>
      </c>
      <c r="C124" s="35"/>
      <c r="D124" s="306">
        <f t="shared" si="8"/>
        <v>0.39769197799808981</v>
      </c>
      <c r="E124" s="306">
        <f t="shared" si="8"/>
        <v>8.512776690845017E-2</v>
      </c>
      <c r="F124" s="306">
        <f t="shared" si="8"/>
        <v>0.25265748787228293</v>
      </c>
      <c r="G124" s="306">
        <f t="shared" si="8"/>
        <v>0.26452276722117707</v>
      </c>
    </row>
    <row r="125" spans="2:7" x14ac:dyDescent="0.3">
      <c r="B125" s="35" t="s">
        <v>204</v>
      </c>
      <c r="C125" s="35"/>
      <c r="D125" s="306">
        <f t="shared" si="8"/>
        <v>0.39769197799808981</v>
      </c>
      <c r="E125" s="306">
        <f t="shared" si="8"/>
        <v>8.512776690845017E-2</v>
      </c>
      <c r="F125" s="306">
        <f t="shared" si="8"/>
        <v>0.25265748787228293</v>
      </c>
      <c r="G125" s="306">
        <f t="shared" si="8"/>
        <v>0.26452276722117707</v>
      </c>
    </row>
  </sheetData>
  <mergeCells count="10">
    <mergeCell ref="L55:M55"/>
    <mergeCell ref="J56:K56"/>
    <mergeCell ref="L56:M56"/>
    <mergeCell ref="B4:B5"/>
    <mergeCell ref="C4:E4"/>
    <mergeCell ref="F4:H4"/>
    <mergeCell ref="I4:K4"/>
    <mergeCell ref="B10:C10"/>
    <mergeCell ref="B55:H55"/>
    <mergeCell ref="J55:K55"/>
  </mergeCells>
  <conditionalFormatting sqref="I24:J24">
    <cfRule type="cellIs" dxfId="69" priority="1" operator="equal">
      <formula>"Escassez Hídrica"</formula>
    </cfRule>
    <cfRule type="cellIs" dxfId="68" priority="2" operator="equal">
      <formula>"VERDE"</formula>
    </cfRule>
    <cfRule type="cellIs" dxfId="67" priority="3" operator="equal">
      <formula>"BVM2"</formula>
    </cfRule>
    <cfRule type="cellIs" dxfId="66" priority="4" operator="equal">
      <formula>"BVM1"</formula>
    </cfRule>
    <cfRule type="cellIs" dxfId="65" priority="5" operator="equal">
      <formula>"BAM"</formula>
    </cfRule>
  </conditionalFormatting>
  <conditionalFormatting sqref="M22">
    <cfRule type="cellIs" dxfId="64" priority="11" operator="equal">
      <formula>"VERDE"</formula>
    </cfRule>
    <cfRule type="cellIs" dxfId="63" priority="12" operator="equal">
      <formula>"BVM2"</formula>
    </cfRule>
    <cfRule type="cellIs" dxfId="62" priority="13" operator="equal">
      <formula>"BVM1"</formula>
    </cfRule>
    <cfRule type="cellIs" dxfId="61" priority="14" operator="equal">
      <formula>"BAM"</formula>
    </cfRule>
  </conditionalFormatting>
  <conditionalFormatting sqref="M26">
    <cfRule type="containsText" dxfId="60" priority="6" operator="containsText" text="Escassez Hídrica">
      <formula>NOT(ISERROR(SEARCH("Escassez Hídrica",M26)))</formula>
    </cfRule>
    <cfRule type="cellIs" dxfId="59" priority="7" operator="equal">
      <formula>"VERDE"</formula>
    </cfRule>
    <cfRule type="cellIs" dxfId="58" priority="8" operator="equal">
      <formula>"BVM2"</formula>
    </cfRule>
    <cfRule type="cellIs" dxfId="57" priority="9" operator="equal">
      <formula>"BVM1"</formula>
    </cfRule>
    <cfRule type="cellIs" dxfId="56" priority="10" operator="equal">
      <formula>"BAM"</formula>
    </cfRule>
  </conditionalFormatting>
  <dataValidations disablePrompts="1" count="2">
    <dataValidation type="list" allowBlank="1" showInputMessage="1" showErrorMessage="1" sqref="I24:J24" xr:uid="{00000000-0002-0000-1300-000000000000}">
      <formula1>$M$22:$M$26</formula1>
    </dataValidation>
    <dataValidation type="list" allowBlank="1" showInputMessage="1" showErrorMessage="1" sqref="B12" xr:uid="{00000000-0002-0000-1300-000001000000}">
      <formula1>$B$76:$B$84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>
    <tabColor rgb="FF92D050"/>
  </sheetPr>
  <dimension ref="A1:Y120"/>
  <sheetViews>
    <sheetView showGridLines="0" zoomScale="90" zoomScaleNormal="90" workbookViewId="0">
      <selection activeCell="F2" sqref="F2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24</v>
      </c>
      <c r="E2" s="438" t="s">
        <v>211</v>
      </c>
      <c r="F2" s="439">
        <f>'B1CDE '!F2</f>
        <v>46023</v>
      </c>
      <c r="G2" s="25" t="s">
        <v>210</v>
      </c>
      <c r="J2" s="25"/>
      <c r="K2" s="25"/>
    </row>
    <row r="4" spans="1:20" ht="15" customHeight="1" x14ac:dyDescent="0.3">
      <c r="B4" s="802" t="s">
        <v>212</v>
      </c>
      <c r="C4" s="803" t="s">
        <v>213</v>
      </c>
      <c r="D4" s="803"/>
      <c r="E4" s="803"/>
      <c r="F4" s="803" t="s">
        <v>214</v>
      </c>
      <c r="G4" s="803"/>
      <c r="H4" s="803"/>
      <c r="I4" s="804" t="s">
        <v>215</v>
      </c>
      <c r="J4" s="804"/>
      <c r="K4" s="804"/>
    </row>
    <row r="5" spans="1:20" x14ac:dyDescent="0.3">
      <c r="B5" s="802"/>
      <c r="C5" s="448" t="s">
        <v>217</v>
      </c>
      <c r="D5" s="448" t="s">
        <v>7</v>
      </c>
      <c r="E5" s="448" t="s">
        <v>218</v>
      </c>
      <c r="F5" s="448" t="s">
        <v>217</v>
      </c>
      <c r="G5" s="448" t="s">
        <v>7</v>
      </c>
      <c r="H5" s="448" t="s">
        <v>218</v>
      </c>
      <c r="I5" s="473" t="s">
        <v>217</v>
      </c>
      <c r="J5" s="473" t="s">
        <v>7</v>
      </c>
      <c r="K5" s="473" t="s">
        <v>218</v>
      </c>
    </row>
    <row r="6" spans="1:20" ht="18" x14ac:dyDescent="0.3">
      <c r="B6" s="474" t="s">
        <v>24</v>
      </c>
      <c r="C6" s="475">
        <v>0.39694999999999997</v>
      </c>
      <c r="D6" s="475">
        <v>0.28093000000000001</v>
      </c>
      <c r="E6" s="475">
        <f t="shared" ref="E6:E7" si="0">C6+D6</f>
        <v>0.67788000000000004</v>
      </c>
      <c r="F6" s="476">
        <v>0.45667000000000002</v>
      </c>
      <c r="G6" s="476">
        <v>0.33002999999999999</v>
      </c>
      <c r="H6" s="475">
        <f t="shared" ref="H6:H7" si="1">F6+G6</f>
        <v>0.78669999999999995</v>
      </c>
      <c r="I6" s="475">
        <f>((C6*$C$26)+(F6*$D$26))/($D$26+$C$26)</f>
        <v>0.45667000000000002</v>
      </c>
      <c r="J6" s="475">
        <f>((D6*$C$26)+(G6*$D$26))/($D$26+$C$26)</f>
        <v>0.33002999999999999</v>
      </c>
      <c r="K6" s="475">
        <f t="shared" ref="K6:K7" si="2">I6+J6</f>
        <v>0.78669999999999995</v>
      </c>
    </row>
    <row r="7" spans="1:20" x14ac:dyDescent="0.3">
      <c r="A7" s="27" t="s">
        <v>210</v>
      </c>
      <c r="B7" s="477" t="s">
        <v>216</v>
      </c>
      <c r="C7" s="475">
        <v>1.1506162773328076E-4</v>
      </c>
      <c r="D7" s="475">
        <v>-2.0731505487585774E-3</v>
      </c>
      <c r="E7" s="475">
        <f t="shared" si="0"/>
        <v>-1.9580889210252966E-3</v>
      </c>
      <c r="F7" s="476">
        <v>1.2448550414992767E-4</v>
      </c>
      <c r="G7" s="476">
        <v>-1.27319E-3</v>
      </c>
      <c r="H7" s="475">
        <f t="shared" si="1"/>
        <v>-1.1487044958500723E-3</v>
      </c>
      <c r="I7" s="475">
        <f>((C7*$C$26)+(F7*$D$26))/($D$26+$C$26)</f>
        <v>1.2448550414992767E-4</v>
      </c>
      <c r="J7" s="475">
        <f>((D7*$C$26)+(G7*$D$26))/($D$26+$C$26)</f>
        <v>-1.27319E-3</v>
      </c>
      <c r="K7" s="475">
        <f t="shared" si="2"/>
        <v>-1.1487044958500723E-3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40" t="s">
        <v>227</v>
      </c>
      <c r="K10" s="440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41" t="s">
        <v>229</v>
      </c>
      <c r="C11" s="441" t="s">
        <v>230</v>
      </c>
      <c r="F11" s="27"/>
      <c r="G11" s="27"/>
      <c r="J11" s="442">
        <f>IF(AND($B$26&lt;$F$2,$E$26&lt;$F$2),#REF!,IF($B$26&lt;$F$2,K15,J15))</f>
        <v>0.198765645709125</v>
      </c>
      <c r="K11" s="443">
        <f>D31*J11</f>
        <v>44.324738993134872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38" t="s">
        <v>201</v>
      </c>
      <c r="C12" s="444">
        <f>J51</f>
        <v>175.44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445" t="s">
        <v>231</v>
      </c>
      <c r="J13" s="445" t="s">
        <v>232</v>
      </c>
      <c r="K13" s="44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46"/>
      <c r="C14" s="447" t="s">
        <v>170</v>
      </c>
      <c r="D14" s="27"/>
      <c r="E14" s="27"/>
      <c r="F14" s="27"/>
      <c r="G14" s="27"/>
      <c r="I14" s="448" t="s">
        <v>234</v>
      </c>
      <c r="J14" s="448" t="s">
        <v>234</v>
      </c>
      <c r="K14" s="44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46" t="s">
        <v>190</v>
      </c>
      <c r="C15" s="444">
        <f>$C$12*(VLOOKUP($B$12,B112:G120,3,0))</f>
        <v>69.771080619984872</v>
      </c>
      <c r="D15" s="27"/>
      <c r="E15" s="27"/>
      <c r="F15" s="27"/>
      <c r="G15" s="27"/>
      <c r="I15" s="449">
        <v>0.19769341067594101</v>
      </c>
      <c r="J15" s="449">
        <v>0.198765645709125</v>
      </c>
      <c r="K15" s="449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46" t="s">
        <v>192</v>
      </c>
      <c r="C16" s="444">
        <f>$C$12*(VLOOKUP($B$12,B112:G120,5,0))</f>
        <v>44.326229672313318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46" t="s">
        <v>191</v>
      </c>
      <c r="C17" s="444">
        <f>$C$12*(VLOOKUP($B$12,B112:G120,4,0))</f>
        <v>14.934815426418497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46" t="s">
        <v>235</v>
      </c>
      <c r="C18" s="444">
        <f>$C$12*(VLOOKUP($B$12,B112:G120,6,0))</f>
        <v>46.407874281283306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46" t="s">
        <v>236</v>
      </c>
      <c r="C19" s="444">
        <f>L51</f>
        <v>47.354881173704293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47" t="s">
        <v>237</v>
      </c>
      <c r="C20" s="450">
        <f>SUM(C15:C19)</f>
        <v>222.79488117370428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74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f>'B1C ICMS'!B26</f>
        <v>46125</v>
      </c>
      <c r="C26" s="32">
        <f>IF((F2-B26-1)&lt;0,0,(F2-B26-1))</f>
        <v>0</v>
      </c>
      <c r="D26" s="32">
        <f>E26-F2+1</f>
        <v>133</v>
      </c>
      <c r="E26" s="122">
        <f>'B1C ICMS'!E26</f>
        <v>46155</v>
      </c>
      <c r="F26" s="451">
        <f>E26</f>
        <v>46155</v>
      </c>
      <c r="G26" s="25"/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223</v>
      </c>
      <c r="E31" s="171">
        <f>(ROUND(D31*K31,2)+ROUND(G31,2)+ROUND(J31,2))/ROUND(D31,4)</f>
        <v>0.57995515695067257</v>
      </c>
      <c r="F31" s="169">
        <f>ROUND(D31*E31,2)</f>
        <v>129.33000000000001</v>
      </c>
      <c r="G31" s="169">
        <f>((D31*K31)/(1-$N$31-$N$32))*($N$31+$N$32)</f>
        <v>4.2100855742996979</v>
      </c>
      <c r="H31" s="176">
        <f>ROUND((D31*K31)/(1-$N$31-$N$32)/(1-$I$31),8)</f>
        <v>129.32621412</v>
      </c>
      <c r="I31" s="247">
        <v>0.18</v>
      </c>
      <c r="J31" s="176">
        <f>H31*$I$31</f>
        <v>23.2787185416</v>
      </c>
      <c r="K31" s="267">
        <f>I6</f>
        <v>0.45667000000000002</v>
      </c>
      <c r="L31" s="95" t="s">
        <v>263</v>
      </c>
      <c r="M31" s="169">
        <f>D66</f>
        <v>182.69290846610434</v>
      </c>
      <c r="N31" s="237">
        <f>'B1C ICMS'!N31</f>
        <v>7.1000000000000004E-3</v>
      </c>
      <c r="O31" s="178">
        <f>ROUND(M31*N31,2)</f>
        <v>1.3</v>
      </c>
    </row>
    <row r="32" spans="1:25" x14ac:dyDescent="0.3">
      <c r="B32" s="163" t="s">
        <v>289</v>
      </c>
      <c r="C32" s="164" t="s">
        <v>262</v>
      </c>
      <c r="D32" s="184">
        <f>D31</f>
        <v>223</v>
      </c>
      <c r="E32" s="171">
        <f>(ROUND(D32*K32,2)+ROUND(G32,2)+ROUND(J32,2))/ROUND(D32,4)</f>
        <v>0.41910313901345297</v>
      </c>
      <c r="F32" s="169">
        <f t="shared" ref="F32:F36" si="3">ROUND(D32*E32,2)</f>
        <v>93.46</v>
      </c>
      <c r="G32" s="169">
        <f>((D32*K32)/(1-$N$31-$N$32))*($N$31+$N$32)</f>
        <v>3.0425789784442356</v>
      </c>
      <c r="H32" s="176">
        <f t="shared" ref="H32:H36" si="4">(D32*K32)/(1-$N$31-$N$32)/(1-$I$31)</f>
        <v>93.462523144444162</v>
      </c>
      <c r="I32" s="163"/>
      <c r="J32" s="176">
        <f t="shared" ref="J32:J36" si="5">H32*$I$31</f>
        <v>16.823254165999948</v>
      </c>
      <c r="K32" s="267">
        <f>J6</f>
        <v>0.33002999999999999</v>
      </c>
      <c r="L32" s="95" t="s">
        <v>265</v>
      </c>
      <c r="M32" s="169">
        <f>M31</f>
        <v>182.69290846610434</v>
      </c>
      <c r="N32" s="237">
        <f>'B1C ICMS'!N32</f>
        <v>3.2599999999999997E-2</v>
      </c>
      <c r="O32" s="178">
        <f>ROUND(M32*N32,2)</f>
        <v>5.96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0</v>
      </c>
      <c r="E33" s="171">
        <f>IFERROR((ROUND(D33*K33,2)+ROUND(G33,2)+ROUND(J33,2))/ROUND(D33,4), 0)</f>
        <v>0</v>
      </c>
      <c r="F33" s="169">
        <f t="shared" si="3"/>
        <v>0</v>
      </c>
      <c r="G33" s="169">
        <f t="shared" ref="G33:G36" si="6">((D33*K33)/(1-$N$31-$N$32))*($N$31+$N$32)</f>
        <v>0</v>
      </c>
      <c r="H33" s="176">
        <f t="shared" si="4"/>
        <v>0</v>
      </c>
      <c r="I33" s="163"/>
      <c r="J33" s="176">
        <f t="shared" si="5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6" si="7">K34/(1-$N$31-$N$32)/(1-$I$31)</f>
        <v>5.6676902289172847E-2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7"/>
        <v>0.10003225618010632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7"/>
        <v>0.18032982579122883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5">
        <v>0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/>
      <c r="G38" s="163"/>
      <c r="H38" s="163"/>
      <c r="I38" s="163"/>
      <c r="J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>
        <v>0</v>
      </c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>
        <v>0</v>
      </c>
      <c r="G40" s="163"/>
      <c r="H40" s="163"/>
      <c r="I40" s="163"/>
      <c r="J40" s="163"/>
      <c r="K40" s="163"/>
      <c r="O40" s="46"/>
      <c r="R40" s="187"/>
    </row>
    <row r="41" spans="2:19" x14ac:dyDescent="0.3">
      <c r="B41" s="343" t="s">
        <v>272</v>
      </c>
      <c r="C41" s="343"/>
      <c r="D41" s="344"/>
      <c r="E41" s="343"/>
      <c r="F41" s="345">
        <v>17.100000000000001</v>
      </c>
      <c r="G41" s="163"/>
      <c r="H41" s="163"/>
      <c r="I41" s="163"/>
      <c r="J41" s="163"/>
      <c r="K41" s="163"/>
      <c r="O41" s="46"/>
    </row>
    <row r="42" spans="2:19" x14ac:dyDescent="0.3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">
      <c r="B44" s="170" t="s">
        <v>177</v>
      </c>
      <c r="C44" s="166"/>
      <c r="D44" s="185"/>
      <c r="E44" s="166"/>
      <c r="F44" s="172">
        <f>SUM(F31:F43)</f>
        <v>239.89000000000001</v>
      </c>
      <c r="G44" s="175">
        <f>SUM(G31:G43)</f>
        <v>7.2526645527439335</v>
      </c>
      <c r="H44" s="177">
        <f>SUM(H31:H43)</f>
        <v>222.78873726444417</v>
      </c>
      <c r="I44" s="166"/>
      <c r="J44" s="177">
        <f>SUM(J31:J43)</f>
        <v>40.101972707599948</v>
      </c>
      <c r="K44" s="166"/>
      <c r="L44" s="53"/>
      <c r="M44" s="53"/>
      <c r="N44" s="53"/>
      <c r="O44" s="241">
        <f>F44</f>
        <v>239.89000000000001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-0.25616110257456615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800">
        <f>SUM(H54:H60)</f>
        <v>175.44</v>
      </c>
      <c r="K51" s="801"/>
      <c r="L51" s="800">
        <f>SUM(H66:H68)</f>
        <v>47.354881173704293</v>
      </c>
      <c r="M51" s="80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222.79488117370428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123">
        <f>D31</f>
        <v>223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175.44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0</v>
      </c>
      <c r="E57" s="27"/>
      <c r="F57" s="48">
        <f>N23</f>
        <v>1.8849999999999999E-2</v>
      </c>
      <c r="G57" s="48"/>
      <c r="H57" s="42">
        <f>ROUND(D57*(E57+F57),2)</f>
        <v>0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182.69290846610434</v>
      </c>
      <c r="E66" s="215">
        <f>N31</f>
        <v>7.1000000000000004E-3</v>
      </c>
      <c r="F66" s="27"/>
      <c r="G66" s="27"/>
      <c r="H66" s="42">
        <f>D66*E66</f>
        <v>1.2971196501093409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182.69290846610434</v>
      </c>
      <c r="E67" s="215">
        <f>N32</f>
        <v>3.2599999999999997E-2</v>
      </c>
      <c r="F67" s="27"/>
      <c r="G67" s="27"/>
      <c r="H67" s="42">
        <f>D67*E67</f>
        <v>5.9557888159950014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222.78873726444417</v>
      </c>
      <c r="E68" s="249">
        <f>I31</f>
        <v>0.18</v>
      </c>
      <c r="F68" s="27"/>
      <c r="G68" s="27"/>
      <c r="H68" s="42">
        <f>D68*E68</f>
        <v>40.101972707599948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05" t="s">
        <v>191</v>
      </c>
      <c r="F81" s="305" t="s">
        <v>192</v>
      </c>
      <c r="G81" s="30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05"/>
      <c r="E83" s="305"/>
      <c r="F83" s="305"/>
      <c r="G83" s="305"/>
    </row>
    <row r="84" spans="2:10" x14ac:dyDescent="0.3">
      <c r="B84" s="35" t="s">
        <v>196</v>
      </c>
      <c r="C84" s="35"/>
      <c r="D84" s="306">
        <v>0.39769197799808981</v>
      </c>
      <c r="E84" s="306">
        <v>8.512776690845017E-2</v>
      </c>
      <c r="F84" s="306">
        <v>0.25265748787228293</v>
      </c>
      <c r="G84" s="306">
        <v>0.26452276722117707</v>
      </c>
    </row>
    <row r="85" spans="2:10" x14ac:dyDescent="0.3">
      <c r="B85" s="35" t="s">
        <v>197</v>
      </c>
      <c r="C85" s="35"/>
      <c r="D85" s="306">
        <v>0.51666134768573579</v>
      </c>
      <c r="E85" s="306">
        <v>0.11059369866547396</v>
      </c>
      <c r="F85" s="306">
        <v>0.32823985750000007</v>
      </c>
      <c r="G85" s="306">
        <v>4.4505096148790169E-2</v>
      </c>
    </row>
    <row r="86" spans="2:10" x14ac:dyDescent="0.3">
      <c r="B86" s="35" t="s">
        <v>198</v>
      </c>
      <c r="C86" s="35"/>
      <c r="D86" s="306">
        <v>0.39769197799808981</v>
      </c>
      <c r="E86" s="306">
        <v>8.512776690845017E-2</v>
      </c>
      <c r="F86" s="306">
        <v>0.25265748787228293</v>
      </c>
      <c r="G86" s="306">
        <v>0.26452276722117707</v>
      </c>
    </row>
    <row r="87" spans="2:10" x14ac:dyDescent="0.3">
      <c r="B87" s="35" t="s">
        <v>199</v>
      </c>
      <c r="C87" s="35"/>
      <c r="D87" s="306">
        <v>0.39769197799808981</v>
      </c>
      <c r="E87" s="306">
        <v>8.512776690845017E-2</v>
      </c>
      <c r="F87" s="306">
        <v>0.25265748787228293</v>
      </c>
      <c r="G87" s="306">
        <v>0.26452276722117707</v>
      </c>
      <c r="J87" s="30"/>
    </row>
    <row r="88" spans="2:10" x14ac:dyDescent="0.3">
      <c r="B88" s="35" t="s">
        <v>200</v>
      </c>
      <c r="C88" s="35"/>
      <c r="D88" s="306">
        <v>0.39769197799808981</v>
      </c>
      <c r="E88" s="306">
        <v>8.512776690845017E-2</v>
      </c>
      <c r="F88" s="306">
        <v>0.25265748787228293</v>
      </c>
      <c r="G88" s="306">
        <v>0.26452276722117707</v>
      </c>
    </row>
    <row r="89" spans="2:10" x14ac:dyDescent="0.3">
      <c r="B89" s="35" t="s">
        <v>201</v>
      </c>
      <c r="C89" s="35"/>
      <c r="D89" s="306">
        <v>0.39769197799808981</v>
      </c>
      <c r="E89" s="306">
        <v>8.512776690845017E-2</v>
      </c>
      <c r="F89" s="306">
        <v>0.25265748787228293</v>
      </c>
      <c r="G89" s="306">
        <v>0.26452276722117707</v>
      </c>
    </row>
    <row r="90" spans="2:10" x14ac:dyDescent="0.3">
      <c r="B90" s="35" t="s">
        <v>202</v>
      </c>
      <c r="C90" s="35"/>
      <c r="D90" s="306">
        <v>0.39769197799808981</v>
      </c>
      <c r="E90" s="306">
        <v>8.512776690845017E-2</v>
      </c>
      <c r="F90" s="306">
        <v>0.25265748787228293</v>
      </c>
      <c r="G90" s="306">
        <v>0.26452276722117707</v>
      </c>
    </row>
    <row r="91" spans="2:10" x14ac:dyDescent="0.3">
      <c r="B91" s="35" t="s">
        <v>203</v>
      </c>
      <c r="C91" s="35"/>
      <c r="D91" s="306">
        <v>0.39769197799808981</v>
      </c>
      <c r="E91" s="306">
        <v>8.512776690845017E-2</v>
      </c>
      <c r="F91" s="306">
        <v>0.25265748787228293</v>
      </c>
      <c r="G91" s="306">
        <v>0.26452276722117707</v>
      </c>
    </row>
    <row r="92" spans="2:10" x14ac:dyDescent="0.3">
      <c r="B92" s="35" t="s">
        <v>204</v>
      </c>
      <c r="C92" s="35"/>
      <c r="D92" s="306">
        <v>0.39769197799808981</v>
      </c>
      <c r="E92" s="306">
        <v>8.512776690845017E-2</v>
      </c>
      <c r="F92" s="306">
        <v>0.25265748787228293</v>
      </c>
      <c r="G92" s="306">
        <v>0.26452276722117707</v>
      </c>
    </row>
    <row r="93" spans="2:10" x14ac:dyDescent="0.3">
      <c r="B93" s="64"/>
      <c r="C93" s="64"/>
      <c r="D93" s="119"/>
      <c r="E93" s="119"/>
      <c r="F93" s="119"/>
      <c r="G93" s="119"/>
    </row>
    <row r="94" spans="2:10" x14ac:dyDescent="0.3">
      <c r="B94" s="64"/>
      <c r="C94" s="64"/>
      <c r="D94" s="119"/>
      <c r="E94" s="119"/>
      <c r="F94" s="119"/>
      <c r="G94" s="119"/>
    </row>
    <row r="95" spans="2:10" x14ac:dyDescent="0.3">
      <c r="B95" s="35">
        <v>2024</v>
      </c>
      <c r="C95" s="35"/>
      <c r="D95" s="305" t="s">
        <v>190</v>
      </c>
      <c r="E95" s="305" t="s">
        <v>191</v>
      </c>
      <c r="F95" s="305" t="s">
        <v>192</v>
      </c>
      <c r="G95" s="305" t="s">
        <v>193</v>
      </c>
    </row>
    <row r="96" spans="2:10" x14ac:dyDescent="0.3">
      <c r="B96" s="35" t="s">
        <v>194</v>
      </c>
      <c r="C96" s="35"/>
      <c r="D96" s="305" t="s">
        <v>195</v>
      </c>
      <c r="E96" s="305" t="s">
        <v>195</v>
      </c>
      <c r="F96" s="305" t="s">
        <v>195</v>
      </c>
      <c r="G96" s="305" t="s">
        <v>195</v>
      </c>
    </row>
    <row r="97" spans="2:7" x14ac:dyDescent="0.3">
      <c r="B97" s="35"/>
      <c r="C97" s="35"/>
      <c r="D97" s="305"/>
      <c r="E97" s="305"/>
      <c r="F97" s="305"/>
      <c r="G97" s="305"/>
    </row>
    <row r="98" spans="2:7" x14ac:dyDescent="0.3">
      <c r="B98" s="35" t="s">
        <v>196</v>
      </c>
      <c r="C98" s="35"/>
      <c r="D98" s="306">
        <v>0.41273682960000002</v>
      </c>
      <c r="E98" s="306">
        <v>9.8534926200000011E-2</v>
      </c>
      <c r="F98" s="306">
        <v>0.2916348184</v>
      </c>
      <c r="G98" s="306">
        <v>0.19709700829999999</v>
      </c>
    </row>
    <row r="99" spans="2:7" x14ac:dyDescent="0.3">
      <c r="B99" s="35" t="s">
        <v>197</v>
      </c>
      <c r="C99" s="35"/>
      <c r="D99" s="306">
        <v>0.49306718250000003</v>
      </c>
      <c r="E99" s="306">
        <v>0.11771263169999999</v>
      </c>
      <c r="F99" s="306">
        <v>0.34839526770000001</v>
      </c>
      <c r="G99" s="306">
        <v>4.0810691699999999E-2</v>
      </c>
    </row>
    <row r="100" spans="2:7" x14ac:dyDescent="0.3">
      <c r="B100" s="35" t="s">
        <v>198</v>
      </c>
      <c r="C100" s="35"/>
      <c r="D100" s="306">
        <v>0.41273682960000002</v>
      </c>
      <c r="E100" s="306">
        <v>9.8534926200000011E-2</v>
      </c>
      <c r="F100" s="306">
        <v>0.2916348184</v>
      </c>
      <c r="G100" s="306">
        <v>0.19709700829999999</v>
      </c>
    </row>
    <row r="101" spans="2:7" x14ac:dyDescent="0.3">
      <c r="B101" s="35" t="s">
        <v>199</v>
      </c>
      <c r="C101" s="35"/>
      <c r="D101" s="306">
        <v>0.41273682960000002</v>
      </c>
      <c r="E101" s="306">
        <v>9.8534926200000011E-2</v>
      </c>
      <c r="F101" s="306">
        <v>0.2916348184</v>
      </c>
      <c r="G101" s="306">
        <v>0.19709700829999999</v>
      </c>
    </row>
    <row r="102" spans="2:7" x14ac:dyDescent="0.3">
      <c r="B102" s="35" t="s">
        <v>200</v>
      </c>
      <c r="C102" s="35"/>
      <c r="D102" s="306">
        <v>0.41273682960000002</v>
      </c>
      <c r="E102" s="306">
        <v>9.8534926200000011E-2</v>
      </c>
      <c r="F102" s="306">
        <v>0.2916348184</v>
      </c>
      <c r="G102" s="306">
        <v>0.19709700829999999</v>
      </c>
    </row>
    <row r="103" spans="2:7" x14ac:dyDescent="0.3">
      <c r="B103" s="35" t="s">
        <v>201</v>
      </c>
      <c r="C103" s="35"/>
      <c r="D103" s="306">
        <v>0.41273682960000002</v>
      </c>
      <c r="E103" s="306">
        <v>9.8534926200000011E-2</v>
      </c>
      <c r="F103" s="306">
        <v>0.2916348184</v>
      </c>
      <c r="G103" s="306">
        <v>0.19709700829999999</v>
      </c>
    </row>
    <row r="104" spans="2:7" x14ac:dyDescent="0.3">
      <c r="B104" s="35" t="s">
        <v>202</v>
      </c>
      <c r="C104" s="35"/>
      <c r="D104" s="306">
        <v>0.41273480010000002</v>
      </c>
      <c r="E104" s="306">
        <v>9.8534441600000008E-2</v>
      </c>
      <c r="F104" s="306">
        <v>0.29163338430000002</v>
      </c>
      <c r="G104" s="306">
        <v>0.19709603919999999</v>
      </c>
    </row>
    <row r="105" spans="2:7" x14ac:dyDescent="0.3">
      <c r="B105" s="35" t="s">
        <v>203</v>
      </c>
      <c r="C105" s="35"/>
      <c r="D105" s="306">
        <v>0.41274125779999998</v>
      </c>
      <c r="E105" s="306">
        <v>9.8535983300000005E-2</v>
      </c>
      <c r="F105" s="306">
        <v>0.29163794719999997</v>
      </c>
      <c r="G105" s="306">
        <v>0.19709912289999998</v>
      </c>
    </row>
    <row r="106" spans="2:7" x14ac:dyDescent="0.3">
      <c r="B106" s="35" t="s">
        <v>204</v>
      </c>
      <c r="C106" s="35"/>
      <c r="D106" s="306">
        <v>0.41273480010000002</v>
      </c>
      <c r="E106" s="306">
        <v>9.8534441600000008E-2</v>
      </c>
      <c r="F106" s="306">
        <v>0.29163338430000002</v>
      </c>
      <c r="G106" s="306">
        <v>0.19709603919999999</v>
      </c>
    </row>
    <row r="107" spans="2:7" x14ac:dyDescent="0.3">
      <c r="B107" s="64"/>
      <c r="C107" s="64"/>
      <c r="D107" s="119"/>
      <c r="E107" s="119"/>
      <c r="F107" s="119"/>
      <c r="G107" s="119"/>
    </row>
    <row r="108" spans="2:7" x14ac:dyDescent="0.3">
      <c r="B108" s="135" t="s">
        <v>284</v>
      </c>
      <c r="C108" s="64"/>
      <c r="D108" s="119"/>
      <c r="E108" s="119"/>
      <c r="F108" s="119"/>
      <c r="G108" s="119"/>
    </row>
    <row r="109" spans="2:7" x14ac:dyDescent="0.3">
      <c r="B109" s="35"/>
      <c r="C109" s="35"/>
      <c r="D109" s="305" t="s">
        <v>190</v>
      </c>
      <c r="E109" s="305" t="s">
        <v>191</v>
      </c>
      <c r="F109" s="305" t="s">
        <v>192</v>
      </c>
      <c r="G109" s="30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306"/>
      <c r="E111" s="306"/>
      <c r="F111" s="306"/>
      <c r="G111" s="306"/>
    </row>
    <row r="112" spans="2:7" x14ac:dyDescent="0.3">
      <c r="B112" s="35" t="s">
        <v>196</v>
      </c>
      <c r="C112" s="35"/>
      <c r="D112" s="306">
        <f t="shared" ref="D112:G120" si="8">((D98*$C$26)+(D84*$D$26))/($C$26+$D$26)</f>
        <v>0.39769197799808981</v>
      </c>
      <c r="E112" s="306">
        <f t="shared" si="8"/>
        <v>8.512776690845017E-2</v>
      </c>
      <c r="F112" s="306">
        <f t="shared" si="8"/>
        <v>0.25265748787228293</v>
      </c>
      <c r="G112" s="306">
        <f t="shared" si="8"/>
        <v>0.26452276722117707</v>
      </c>
    </row>
    <row r="113" spans="2:7" x14ac:dyDescent="0.3">
      <c r="B113" s="35" t="s">
        <v>197</v>
      </c>
      <c r="C113" s="35"/>
      <c r="D113" s="306">
        <f t="shared" si="8"/>
        <v>0.51666134768573579</v>
      </c>
      <c r="E113" s="306">
        <f t="shared" si="8"/>
        <v>0.11059369866547396</v>
      </c>
      <c r="F113" s="306">
        <f t="shared" si="8"/>
        <v>0.32823985750000007</v>
      </c>
      <c r="G113" s="306">
        <f t="shared" si="8"/>
        <v>4.4505096148790169E-2</v>
      </c>
    </row>
    <row r="114" spans="2:7" x14ac:dyDescent="0.3">
      <c r="B114" s="35" t="s">
        <v>198</v>
      </c>
      <c r="C114" s="35"/>
      <c r="D114" s="306">
        <f t="shared" si="8"/>
        <v>0.39769197799808981</v>
      </c>
      <c r="E114" s="306">
        <f t="shared" si="8"/>
        <v>8.512776690845017E-2</v>
      </c>
      <c r="F114" s="306">
        <f t="shared" si="8"/>
        <v>0.25265748787228293</v>
      </c>
      <c r="G114" s="306">
        <f t="shared" si="8"/>
        <v>0.26452276722117707</v>
      </c>
    </row>
    <row r="115" spans="2:7" x14ac:dyDescent="0.3">
      <c r="B115" s="35" t="s">
        <v>199</v>
      </c>
      <c r="C115" s="35"/>
      <c r="D115" s="306">
        <f t="shared" si="8"/>
        <v>0.39769197799808981</v>
      </c>
      <c r="E115" s="306">
        <f t="shared" si="8"/>
        <v>8.512776690845017E-2</v>
      </c>
      <c r="F115" s="306">
        <f t="shared" si="8"/>
        <v>0.25265748787228293</v>
      </c>
      <c r="G115" s="306">
        <f t="shared" si="8"/>
        <v>0.26452276722117707</v>
      </c>
    </row>
    <row r="116" spans="2:7" x14ac:dyDescent="0.3">
      <c r="B116" s="35" t="s">
        <v>200</v>
      </c>
      <c r="C116" s="35"/>
      <c r="D116" s="306">
        <f t="shared" si="8"/>
        <v>0.39769197799808981</v>
      </c>
      <c r="E116" s="306">
        <f t="shared" si="8"/>
        <v>8.512776690845017E-2</v>
      </c>
      <c r="F116" s="306">
        <f t="shared" si="8"/>
        <v>0.25265748787228293</v>
      </c>
      <c r="G116" s="306">
        <f t="shared" si="8"/>
        <v>0.26452276722117707</v>
      </c>
    </row>
    <row r="117" spans="2:7" x14ac:dyDescent="0.3">
      <c r="B117" s="35" t="s">
        <v>201</v>
      </c>
      <c r="C117" s="35"/>
      <c r="D117" s="306">
        <f t="shared" si="8"/>
        <v>0.39769197799808981</v>
      </c>
      <c r="E117" s="306">
        <f t="shared" si="8"/>
        <v>8.512776690845017E-2</v>
      </c>
      <c r="F117" s="306">
        <f t="shared" si="8"/>
        <v>0.25265748787228293</v>
      </c>
      <c r="G117" s="306">
        <f t="shared" si="8"/>
        <v>0.26452276722117707</v>
      </c>
    </row>
    <row r="118" spans="2:7" x14ac:dyDescent="0.3">
      <c r="B118" s="35" t="s">
        <v>202</v>
      </c>
      <c r="C118" s="35"/>
      <c r="D118" s="306">
        <f t="shared" si="8"/>
        <v>0.39769197799808981</v>
      </c>
      <c r="E118" s="306">
        <f t="shared" si="8"/>
        <v>8.512776690845017E-2</v>
      </c>
      <c r="F118" s="306">
        <f t="shared" si="8"/>
        <v>0.25265748787228293</v>
      </c>
      <c r="G118" s="306">
        <f t="shared" si="8"/>
        <v>0.26452276722117707</v>
      </c>
    </row>
    <row r="119" spans="2:7" x14ac:dyDescent="0.3">
      <c r="B119" s="35" t="s">
        <v>203</v>
      </c>
      <c r="C119" s="35"/>
      <c r="D119" s="306">
        <f t="shared" si="8"/>
        <v>0.39769197799808981</v>
      </c>
      <c r="E119" s="306">
        <f t="shared" si="8"/>
        <v>8.512776690845017E-2</v>
      </c>
      <c r="F119" s="306">
        <f t="shared" si="8"/>
        <v>0.25265748787228293</v>
      </c>
      <c r="G119" s="306">
        <f t="shared" si="8"/>
        <v>0.26452276722117707</v>
      </c>
    </row>
    <row r="120" spans="2:7" x14ac:dyDescent="0.3">
      <c r="B120" s="35" t="s">
        <v>204</v>
      </c>
      <c r="C120" s="35"/>
      <c r="D120" s="306">
        <f t="shared" si="8"/>
        <v>0.39769197799808981</v>
      </c>
      <c r="E120" s="306">
        <f t="shared" si="8"/>
        <v>8.512776690845017E-2</v>
      </c>
      <c r="F120" s="306">
        <f t="shared" si="8"/>
        <v>0.25265748787228293</v>
      </c>
      <c r="G120" s="306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55" priority="1" operator="equal">
      <formula>"Escassez Hídrica"</formula>
    </cfRule>
    <cfRule type="cellIs" dxfId="54" priority="2" operator="equal">
      <formula>"VERDE"</formula>
    </cfRule>
    <cfRule type="cellIs" dxfId="53" priority="3" operator="equal">
      <formula>"BVM2"</formula>
    </cfRule>
    <cfRule type="cellIs" dxfId="52" priority="4" operator="equal">
      <formula>"BVM1"</formula>
    </cfRule>
    <cfRule type="cellIs" dxfId="51" priority="5" operator="equal">
      <formula>"BAM"</formula>
    </cfRule>
  </conditionalFormatting>
  <conditionalFormatting sqref="M22">
    <cfRule type="cellIs" dxfId="50" priority="11" operator="equal">
      <formula>"VERDE"</formula>
    </cfRule>
    <cfRule type="cellIs" dxfId="49" priority="12" operator="equal">
      <formula>"BVM2"</formula>
    </cfRule>
    <cfRule type="cellIs" dxfId="48" priority="13" operator="equal">
      <formula>"BVM1"</formula>
    </cfRule>
    <cfRule type="cellIs" dxfId="47" priority="14" operator="equal">
      <formula>"BAM"</formula>
    </cfRule>
  </conditionalFormatting>
  <conditionalFormatting sqref="M26">
    <cfRule type="containsText" dxfId="46" priority="6" operator="containsText" text="Escassez Hídrica">
      <formula>NOT(ISERROR(SEARCH("Escassez Hídrica",M26)))</formula>
    </cfRule>
    <cfRule type="cellIs" dxfId="45" priority="7" operator="equal">
      <formula>"VERDE"</formula>
    </cfRule>
    <cfRule type="cellIs" dxfId="44" priority="8" operator="equal">
      <formula>"BVM2"</formula>
    </cfRule>
    <cfRule type="cellIs" dxfId="43" priority="9" operator="equal">
      <formula>"BVM1"</formula>
    </cfRule>
    <cfRule type="cellIs" dxfId="42" priority="10" operator="equal">
      <formula>"BAM"</formula>
    </cfRule>
  </conditionalFormatting>
  <dataValidations count="2">
    <dataValidation type="list" allowBlank="1" showInputMessage="1" showErrorMessage="1" sqref="B12" xr:uid="{00000000-0002-0000-1400-000000000000}">
      <formula1>$B$71:$B$79</formula1>
    </dataValidation>
    <dataValidation type="list" allowBlank="1" showInputMessage="1" showErrorMessage="1" sqref="I24:J24" xr:uid="{00000000-0002-0000-14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>
    <tabColor rgb="FFFFC000"/>
  </sheetPr>
  <dimension ref="A1:Y120"/>
  <sheetViews>
    <sheetView showGridLines="0" topLeftCell="A20" zoomScale="90" zoomScaleNormal="90" workbookViewId="0">
      <selection activeCell="R37" sqref="R37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431</v>
      </c>
      <c r="E2" s="438" t="s">
        <v>211</v>
      </c>
      <c r="F2" s="439">
        <f>'B1CDE '!F2</f>
        <v>46023</v>
      </c>
      <c r="G2" s="25" t="s">
        <v>210</v>
      </c>
      <c r="J2" s="25"/>
      <c r="K2" s="25"/>
    </row>
    <row r="4" spans="1:20" ht="15" customHeight="1" x14ac:dyDescent="0.3">
      <c r="B4" s="802" t="s">
        <v>212</v>
      </c>
      <c r="C4" s="803" t="s">
        <v>213</v>
      </c>
      <c r="D4" s="803"/>
      <c r="E4" s="803"/>
      <c r="F4" s="803" t="s">
        <v>214</v>
      </c>
      <c r="G4" s="803"/>
      <c r="H4" s="803"/>
      <c r="I4" s="804" t="s">
        <v>215</v>
      </c>
      <c r="J4" s="804"/>
      <c r="K4" s="804"/>
    </row>
    <row r="5" spans="1:20" x14ac:dyDescent="0.3">
      <c r="B5" s="802"/>
      <c r="C5" s="448" t="s">
        <v>217</v>
      </c>
      <c r="D5" s="448" t="s">
        <v>7</v>
      </c>
      <c r="E5" s="448" t="s">
        <v>218</v>
      </c>
      <c r="F5" s="448" t="s">
        <v>217</v>
      </c>
      <c r="G5" s="448" t="s">
        <v>7</v>
      </c>
      <c r="H5" s="448" t="s">
        <v>218</v>
      </c>
      <c r="I5" s="448" t="s">
        <v>217</v>
      </c>
      <c r="J5" s="448" t="s">
        <v>7</v>
      </c>
      <c r="K5" s="473" t="s">
        <v>218</v>
      </c>
    </row>
    <row r="6" spans="1:20" ht="18" x14ac:dyDescent="0.3">
      <c r="B6" s="474" t="s">
        <v>431</v>
      </c>
      <c r="C6" s="475">
        <v>0.39694999999999997</v>
      </c>
      <c r="D6" s="475">
        <v>0.28093000000000001</v>
      </c>
      <c r="E6" s="475">
        <f t="shared" ref="E6:E7" si="0">C6+D6</f>
        <v>0.67788000000000004</v>
      </c>
      <c r="F6" s="476">
        <v>0.45667000000000002</v>
      </c>
      <c r="G6" s="476">
        <v>0.33002999999999999</v>
      </c>
      <c r="H6" s="475">
        <f t="shared" ref="H6:H7" si="1">F6+G6</f>
        <v>0.78669999999999995</v>
      </c>
      <c r="I6" s="475">
        <f>((C6*$C$26)+(F6*$D$26))/($D$26+$C$26)</f>
        <v>0.45667000000000002</v>
      </c>
      <c r="J6" s="475">
        <f>((D6*$C$26)+(G6*$D$26))/($D$26+$C$26)</f>
        <v>0.33002999999999999</v>
      </c>
      <c r="K6" s="475">
        <f t="shared" ref="K6:K7" si="2">I6+J6</f>
        <v>0.78669999999999995</v>
      </c>
    </row>
    <row r="7" spans="1:20" x14ac:dyDescent="0.3">
      <c r="A7" s="27" t="s">
        <v>210</v>
      </c>
      <c r="B7" s="477" t="s">
        <v>216</v>
      </c>
      <c r="C7" s="475">
        <v>1.1506162773328076E-4</v>
      </c>
      <c r="D7" s="475">
        <v>-2.0731505487585774E-3</v>
      </c>
      <c r="E7" s="475">
        <f t="shared" si="0"/>
        <v>-1.9580889210252966E-3</v>
      </c>
      <c r="F7" s="476">
        <v>1.2448550414992767E-4</v>
      </c>
      <c r="G7" s="476">
        <v>-1.27319E-3</v>
      </c>
      <c r="H7" s="475">
        <f t="shared" si="1"/>
        <v>-1.1487044958500723E-3</v>
      </c>
      <c r="I7" s="475">
        <f>((C7*$C$26)+(F7*$D$26))/($D$26+$C$26)</f>
        <v>1.2448550414992767E-4</v>
      </c>
      <c r="J7" s="475">
        <f>((D7*$C$26)+(G7*$D$26))/($D$26+$C$26)</f>
        <v>-1.27319E-3</v>
      </c>
      <c r="K7" s="475">
        <f t="shared" si="2"/>
        <v>-1.1487044958500723E-3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40" t="s">
        <v>227</v>
      </c>
      <c r="K10" s="440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41" t="s">
        <v>229</v>
      </c>
      <c r="C11" s="441" t="s">
        <v>230</v>
      </c>
      <c r="F11" s="27"/>
      <c r="G11" s="27"/>
      <c r="J11" s="442">
        <f>IF(AND($B$26&lt;$F$2,$E$26&lt;$F$2),#REF!,IF($B$26&lt;$F$2,K15,J15))</f>
        <v>0.198765645709125</v>
      </c>
      <c r="K11" s="443">
        <f>D31*J11</f>
        <v>867.21451222891233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38" t="s">
        <v>201</v>
      </c>
      <c r="C12" s="444">
        <f>J51</f>
        <v>3461.5499999999997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445" t="s">
        <v>231</v>
      </c>
      <c r="J13" s="445" t="s">
        <v>232</v>
      </c>
      <c r="K13" s="44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46"/>
      <c r="C14" s="447" t="s">
        <v>170</v>
      </c>
      <c r="D14" s="27"/>
      <c r="E14" s="27"/>
      <c r="F14" s="27"/>
      <c r="G14" s="27"/>
      <c r="I14" s="448" t="s">
        <v>234</v>
      </c>
      <c r="J14" s="448" t="s">
        <v>234</v>
      </c>
      <c r="K14" s="44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46" t="s">
        <v>190</v>
      </c>
      <c r="C15" s="444">
        <f>$C$12*(VLOOKUP($B$12,B112:G120,3,0))</f>
        <v>1376.6306664392876</v>
      </c>
      <c r="D15" s="27"/>
      <c r="E15" s="27"/>
      <c r="F15" s="27"/>
      <c r="G15" s="27"/>
      <c r="I15" s="449">
        <v>0.19769341067594101</v>
      </c>
      <c r="J15" s="449">
        <v>0.198765645709125</v>
      </c>
      <c r="K15" s="449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46" t="s">
        <v>192</v>
      </c>
      <c r="C16" s="444">
        <f>$C$12*(VLOOKUP($B$12,B112:G120,5,0))</f>
        <v>874.58652714430093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46" t="s">
        <v>191</v>
      </c>
      <c r="C17" s="444">
        <f>$C$12*(VLOOKUP($B$12,B112:G120,4,0))</f>
        <v>294.67402154194565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46" t="s">
        <v>235</v>
      </c>
      <c r="C18" s="444">
        <f>$C$12*(VLOOKUP($B$12,B112:G120,6,0))</f>
        <v>915.65878487446537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46" t="s">
        <v>236</v>
      </c>
      <c r="C19" s="444">
        <f>L51</f>
        <v>934.3716114602671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47" t="s">
        <v>237</v>
      </c>
      <c r="C20" s="450">
        <f>SUM(C15:C19)</f>
        <v>4395.9216114602668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v>46122</v>
      </c>
      <c r="C26" s="32">
        <f>IF((F2-B26-1)&lt;0,0,(F2-B26-1))</f>
        <v>0</v>
      </c>
      <c r="D26" s="32">
        <f>E26-F2+1</f>
        <v>131</v>
      </c>
      <c r="E26" s="122">
        <v>46153</v>
      </c>
      <c r="F26" s="451">
        <f>E26</f>
        <v>46153</v>
      </c>
      <c r="G26" s="25"/>
      <c r="H26" s="33">
        <f>B26</f>
        <v>46122</v>
      </c>
      <c r="I26" s="34">
        <f>IF((H24-H26-1)&lt;0,0,(H24-H26-1))</f>
        <v>20</v>
      </c>
      <c r="J26" s="34">
        <f>K26-H24+1</f>
        <v>11</v>
      </c>
      <c r="K26" s="33">
        <f>E26</f>
        <v>46153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4363</v>
      </c>
      <c r="E31" s="171">
        <f>(ROUND(D31*K31,2)+ROUND(G31,2)+ROUND(J31,2))/ROUND(D31,4)</f>
        <v>0.57993811597524636</v>
      </c>
      <c r="F31" s="169">
        <f>ROUND(D31*E31,2)</f>
        <v>2530.27</v>
      </c>
      <c r="G31" s="169">
        <f>((D31*K31)/(1-$N$31-$N$32))*($N$31+$N$32)</f>
        <v>82.370418657711141</v>
      </c>
      <c r="H31" s="176">
        <f>ROUND((D31*K31)/(1-$N$31-$N$32)/(1-$I$31),8)</f>
        <v>2530.2702788500001</v>
      </c>
      <c r="I31" s="247">
        <v>0.18</v>
      </c>
      <c r="J31" s="176">
        <f>H31*$I$31</f>
        <v>455.44865019299999</v>
      </c>
      <c r="K31" s="267">
        <f>I6</f>
        <v>0.45667000000000002</v>
      </c>
      <c r="L31" s="95" t="s">
        <v>263</v>
      </c>
      <c r="M31" s="169">
        <f>D66</f>
        <v>3604.6547953764443</v>
      </c>
      <c r="N31" s="237">
        <f>'B1C ICMS'!N31</f>
        <v>7.1000000000000004E-3</v>
      </c>
      <c r="O31" s="178">
        <f>ROUND(M31*N31,2)</f>
        <v>25.59</v>
      </c>
    </row>
    <row r="32" spans="1:25" x14ac:dyDescent="0.3">
      <c r="B32" s="163" t="s">
        <v>289</v>
      </c>
      <c r="C32" s="164" t="s">
        <v>262</v>
      </c>
      <c r="D32" s="184">
        <f>D31</f>
        <v>4363</v>
      </c>
      <c r="E32" s="171">
        <f>(ROUND(D32*K32,2)+ROUND(G32,2)+ROUND(J32,2))/ROUND(D32,4)</f>
        <v>0.41911528764611505</v>
      </c>
      <c r="F32" s="169">
        <f t="shared" ref="F32:F36" si="3">ROUND(D32*E32,2)</f>
        <v>1828.6</v>
      </c>
      <c r="G32" s="169">
        <f>((D32*K32)/(1-$N$31-$N$32))*($N$31+$N$32)</f>
        <v>59.528125932521078</v>
      </c>
      <c r="H32" s="176">
        <f t="shared" ref="H32:H36" si="4">(D32*K32)/(1-$N$31-$N$32)/(1-$I$31)</f>
        <v>1828.5963608933182</v>
      </c>
      <c r="I32" s="163"/>
      <c r="J32" s="176">
        <f t="shared" ref="J32:J36" si="5">H32*$I$31</f>
        <v>329.14734496079728</v>
      </c>
      <c r="K32" s="267">
        <f>J6</f>
        <v>0.33002999999999999</v>
      </c>
      <c r="L32" s="95" t="s">
        <v>265</v>
      </c>
      <c r="M32" s="169">
        <f>M31</f>
        <v>3604.6547953764443</v>
      </c>
      <c r="N32" s="237">
        <f>'B1C ICMS'!N32</f>
        <v>3.2599999999999997E-2</v>
      </c>
      <c r="O32" s="178">
        <f>ROUND(M32*N32,2)</f>
        <v>117.51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1548.1612903225807</v>
      </c>
      <c r="E33" s="171">
        <f>IFERROR((ROUND(D33*K33,2)+ROUND(G33,2)+ROUND(J33,2))/ROUND(D33,4), 0)</f>
        <v>2.3938074152867663E-2</v>
      </c>
      <c r="F33" s="169">
        <f t="shared" si="3"/>
        <v>37.06</v>
      </c>
      <c r="G33" s="169">
        <f t="shared" ref="G33:G36" si="6">((D33*K33)/(1-$N$31-$N$32))*($N$31+$N$32)</f>
        <v>1.2064550253113107</v>
      </c>
      <c r="H33" s="176">
        <f t="shared" si="4"/>
        <v>37.060116277917018</v>
      </c>
      <c r="I33" s="163"/>
      <c r="J33" s="176">
        <f t="shared" si="5"/>
        <v>6.6708209300250632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6" si="7">K34/(1-$N$31-$N$32)/(1-$I$31)</f>
        <v>5.6676902289172847E-2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7"/>
        <v>0.10003225618010632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7"/>
        <v>0.18032982579122883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5">
        <v>-350.43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>
        <v>254.23</v>
      </c>
      <c r="G38" s="163"/>
      <c r="H38" s="163"/>
      <c r="I38" s="163"/>
      <c r="J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/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/>
      <c r="G40" s="163"/>
      <c r="H40" s="163"/>
      <c r="I40" s="163"/>
      <c r="J40" s="163"/>
      <c r="K40" s="163"/>
      <c r="O40" s="46"/>
      <c r="R40" s="187"/>
    </row>
    <row r="41" spans="2:19" x14ac:dyDescent="0.3">
      <c r="B41" s="343" t="s">
        <v>272</v>
      </c>
      <c r="C41" s="343"/>
      <c r="D41" s="344"/>
      <c r="E41" s="343"/>
      <c r="F41" s="345"/>
      <c r="G41" s="163"/>
      <c r="H41" s="163"/>
      <c r="I41" s="163"/>
      <c r="J41" s="163"/>
      <c r="K41" s="163"/>
      <c r="O41" s="46"/>
    </row>
    <row r="42" spans="2:19" x14ac:dyDescent="0.3">
      <c r="B42" s="253" t="s">
        <v>426</v>
      </c>
      <c r="C42" s="253"/>
      <c r="D42" s="254"/>
      <c r="E42" s="253">
        <v>1.2E-2</v>
      </c>
      <c r="F42" s="255"/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ht="15.6" x14ac:dyDescent="0.3">
      <c r="B44" s="170" t="s">
        <v>177</v>
      </c>
      <c r="C44" s="166"/>
      <c r="D44" s="185"/>
      <c r="E44" s="166"/>
      <c r="F44" s="172">
        <f>SUM(F31:F42)</f>
        <v>4299.7300000000005</v>
      </c>
      <c r="G44" s="175">
        <f>SUM(G31:G43)</f>
        <v>143.10499961554353</v>
      </c>
      <c r="H44" s="177">
        <f>SUM(H31:H43)</f>
        <v>4395.9267560212347</v>
      </c>
      <c r="I44" s="166"/>
      <c r="J44" s="177">
        <f>SUM(J31:J43)</f>
        <v>791.26681608382239</v>
      </c>
      <c r="K44" s="166"/>
      <c r="L44" s="53"/>
      <c r="M44" s="53"/>
      <c r="N44" s="53"/>
      <c r="O44" s="248">
        <f>F44</f>
        <v>4299.7300000000005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-5.0117977153938655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800">
        <f>SUM(H54:H60)</f>
        <v>3461.5499999999997</v>
      </c>
      <c r="K51" s="801"/>
      <c r="L51" s="800">
        <f>SUM(H66:H68)</f>
        <v>934.3716114602671</v>
      </c>
      <c r="M51" s="80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4395.9216114602668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123">
        <f>D31</f>
        <v>4363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3432.37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1548.1612903225807</v>
      </c>
      <c r="E57" s="27"/>
      <c r="F57" s="48">
        <f>N23</f>
        <v>1.8849999999999999E-2</v>
      </c>
      <c r="G57" s="48"/>
      <c r="H57" s="42">
        <f>ROUND(D57*(E57+F57),2)</f>
        <v>29.18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3604.6547953764443</v>
      </c>
      <c r="E66" s="215">
        <f>N31</f>
        <v>7.1000000000000004E-3</v>
      </c>
      <c r="F66" s="27"/>
      <c r="G66" s="27"/>
      <c r="H66" s="42">
        <f>D66*E66</f>
        <v>25.593049047172755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3604.6547953764443</v>
      </c>
      <c r="E67" s="215">
        <f>N32</f>
        <v>3.2599999999999997E-2</v>
      </c>
      <c r="F67" s="27"/>
      <c r="G67" s="27"/>
      <c r="H67" s="42">
        <f>D67*E67</f>
        <v>117.51174632927207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4395.9267560212347</v>
      </c>
      <c r="E68" s="249">
        <f>I31</f>
        <v>0.18</v>
      </c>
      <c r="F68" s="27"/>
      <c r="G68" s="27"/>
      <c r="H68" s="42">
        <f>D68*E68</f>
        <v>791.26681608382228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05" t="s">
        <v>191</v>
      </c>
      <c r="F81" s="305" t="s">
        <v>192</v>
      </c>
      <c r="G81" s="30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5"/>
      <c r="E83" s="35"/>
      <c r="F83" s="35"/>
      <c r="G83" s="35"/>
    </row>
    <row r="84" spans="2:10" x14ac:dyDescent="0.3">
      <c r="B84" s="35" t="s">
        <v>196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">
      <c r="B85" s="35" t="s">
        <v>197</v>
      </c>
      <c r="C85" s="35"/>
      <c r="D85" s="71">
        <v>0.51666134768573579</v>
      </c>
      <c r="E85" s="71">
        <v>0.11059369866547396</v>
      </c>
      <c r="F85" s="71">
        <v>0.32823985750000007</v>
      </c>
      <c r="G85" s="71">
        <v>4.4505096148790169E-2</v>
      </c>
    </row>
    <row r="86" spans="2:10" x14ac:dyDescent="0.3">
      <c r="B86" s="35" t="s">
        <v>198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">
      <c r="B87" s="35" t="s">
        <v>199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  <c r="J87" s="30"/>
    </row>
    <row r="88" spans="2:10" x14ac:dyDescent="0.3">
      <c r="B88" s="35" t="s">
        <v>200</v>
      </c>
      <c r="C88" s="35"/>
      <c r="D88" s="71">
        <v>0.39769197799808981</v>
      </c>
      <c r="E88" s="71">
        <v>8.512776690845017E-2</v>
      </c>
      <c r="F88" s="71">
        <v>0.25265748787228293</v>
      </c>
      <c r="G88" s="71">
        <v>0.26452276722117707</v>
      </c>
    </row>
    <row r="89" spans="2:10" x14ac:dyDescent="0.3">
      <c r="B89" s="35" t="s">
        <v>201</v>
      </c>
      <c r="C89" s="35"/>
      <c r="D89" s="71">
        <v>0.39769197799808981</v>
      </c>
      <c r="E89" s="71">
        <v>8.512776690845017E-2</v>
      </c>
      <c r="F89" s="71">
        <v>0.25265748787228293</v>
      </c>
      <c r="G89" s="71">
        <v>0.26452276722117707</v>
      </c>
    </row>
    <row r="90" spans="2:10" x14ac:dyDescent="0.3">
      <c r="B90" s="35" t="s">
        <v>202</v>
      </c>
      <c r="C90" s="35"/>
      <c r="D90" s="71">
        <v>0.39769197799808981</v>
      </c>
      <c r="E90" s="71">
        <v>8.512776690845017E-2</v>
      </c>
      <c r="F90" s="71">
        <v>0.25265748787228293</v>
      </c>
      <c r="G90" s="71">
        <v>0.26452276722117707</v>
      </c>
    </row>
    <row r="91" spans="2:10" x14ac:dyDescent="0.3">
      <c r="B91" s="35" t="s">
        <v>203</v>
      </c>
      <c r="C91" s="35"/>
      <c r="D91" s="71">
        <v>0.39769197799808981</v>
      </c>
      <c r="E91" s="71">
        <v>8.512776690845017E-2</v>
      </c>
      <c r="F91" s="71">
        <v>0.25265748787228293</v>
      </c>
      <c r="G91" s="71">
        <v>0.26452276722117707</v>
      </c>
    </row>
    <row r="92" spans="2:10" x14ac:dyDescent="0.3">
      <c r="B92" s="35" t="s">
        <v>204</v>
      </c>
      <c r="C92" s="35"/>
      <c r="D92" s="71">
        <v>0.39769197799808981</v>
      </c>
      <c r="E92" s="71">
        <v>8.512776690845017E-2</v>
      </c>
      <c r="F92" s="71">
        <v>0.25265748787228293</v>
      </c>
      <c r="G92" s="71">
        <v>0.26452276722117707</v>
      </c>
    </row>
    <row r="93" spans="2:10" x14ac:dyDescent="0.3">
      <c r="B93" s="64"/>
      <c r="C93" s="64"/>
      <c r="D93" s="64"/>
      <c r="E93" s="64"/>
      <c r="F93" s="64"/>
      <c r="G93" s="64"/>
    </row>
    <row r="94" spans="2:10" x14ac:dyDescent="0.3">
      <c r="B94" s="64"/>
      <c r="C94" s="64"/>
      <c r="D94" s="64"/>
      <c r="E94" s="64"/>
      <c r="F94" s="64"/>
      <c r="G94" s="64"/>
    </row>
    <row r="95" spans="2:10" x14ac:dyDescent="0.3">
      <c r="B95" s="35">
        <v>2024</v>
      </c>
      <c r="C95" s="35"/>
      <c r="D95" s="305" t="s">
        <v>190</v>
      </c>
      <c r="E95" s="305" t="s">
        <v>191</v>
      </c>
      <c r="F95" s="305" t="s">
        <v>192</v>
      </c>
      <c r="G95" s="305" t="s">
        <v>193</v>
      </c>
    </row>
    <row r="96" spans="2:10" x14ac:dyDescent="0.3">
      <c r="B96" s="35" t="s">
        <v>194</v>
      </c>
      <c r="C96" s="35"/>
      <c r="D96" s="305" t="s">
        <v>195</v>
      </c>
      <c r="E96" s="305" t="s">
        <v>195</v>
      </c>
      <c r="F96" s="305" t="s">
        <v>195</v>
      </c>
      <c r="G96" s="305" t="s">
        <v>195</v>
      </c>
    </row>
    <row r="97" spans="2:7" x14ac:dyDescent="0.3">
      <c r="B97" s="35"/>
      <c r="C97" s="35"/>
      <c r="D97" s="35"/>
      <c r="E97" s="35"/>
      <c r="F97" s="35"/>
      <c r="G97" s="35"/>
    </row>
    <row r="98" spans="2:7" x14ac:dyDescent="0.3">
      <c r="B98" s="35" t="s">
        <v>196</v>
      </c>
      <c r="C98" s="35"/>
      <c r="D98" s="71">
        <v>0.41273682960000002</v>
      </c>
      <c r="E98" s="71">
        <v>9.8534926200000011E-2</v>
      </c>
      <c r="F98" s="71">
        <v>0.2916348184</v>
      </c>
      <c r="G98" s="71">
        <v>0.19709700829999999</v>
      </c>
    </row>
    <row r="99" spans="2:7" x14ac:dyDescent="0.3">
      <c r="B99" s="35" t="s">
        <v>197</v>
      </c>
      <c r="C99" s="35"/>
      <c r="D99" s="71">
        <v>0.49306718250000003</v>
      </c>
      <c r="E99" s="71">
        <v>0.11771263169999999</v>
      </c>
      <c r="F99" s="71">
        <v>0.34839526770000001</v>
      </c>
      <c r="G99" s="71">
        <v>4.0810691699999999E-2</v>
      </c>
    </row>
    <row r="100" spans="2:7" x14ac:dyDescent="0.3">
      <c r="B100" s="35" t="s">
        <v>198</v>
      </c>
      <c r="C100" s="35"/>
      <c r="D100" s="71">
        <v>0.41273682960000002</v>
      </c>
      <c r="E100" s="71">
        <v>9.8534926200000011E-2</v>
      </c>
      <c r="F100" s="71">
        <v>0.2916348184</v>
      </c>
      <c r="G100" s="71">
        <v>0.19709700829999999</v>
      </c>
    </row>
    <row r="101" spans="2:7" x14ac:dyDescent="0.3">
      <c r="B101" s="35" t="s">
        <v>199</v>
      </c>
      <c r="C101" s="35"/>
      <c r="D101" s="71">
        <v>0.41273682960000002</v>
      </c>
      <c r="E101" s="71">
        <v>9.8534926200000011E-2</v>
      </c>
      <c r="F101" s="71">
        <v>0.2916348184</v>
      </c>
      <c r="G101" s="71">
        <v>0.19709700829999999</v>
      </c>
    </row>
    <row r="102" spans="2:7" x14ac:dyDescent="0.3">
      <c r="B102" s="35" t="s">
        <v>200</v>
      </c>
      <c r="C102" s="35"/>
      <c r="D102" s="71">
        <v>0.41273682960000002</v>
      </c>
      <c r="E102" s="71">
        <v>9.8534926200000011E-2</v>
      </c>
      <c r="F102" s="71">
        <v>0.2916348184</v>
      </c>
      <c r="G102" s="71">
        <v>0.19709700829999999</v>
      </c>
    </row>
    <row r="103" spans="2:7" x14ac:dyDescent="0.3">
      <c r="B103" s="35" t="s">
        <v>201</v>
      </c>
      <c r="C103" s="35"/>
      <c r="D103" s="71">
        <v>0.41273682960000002</v>
      </c>
      <c r="E103" s="71">
        <v>9.8534926200000011E-2</v>
      </c>
      <c r="F103" s="71">
        <v>0.2916348184</v>
      </c>
      <c r="G103" s="71">
        <v>0.19709700829999999</v>
      </c>
    </row>
    <row r="104" spans="2:7" x14ac:dyDescent="0.3">
      <c r="B104" s="35" t="s">
        <v>202</v>
      </c>
      <c r="C104" s="35"/>
      <c r="D104" s="71">
        <v>0.41273480010000002</v>
      </c>
      <c r="E104" s="71">
        <v>9.8534441600000008E-2</v>
      </c>
      <c r="F104" s="71">
        <v>0.29163338430000002</v>
      </c>
      <c r="G104" s="71">
        <v>0.19709603919999999</v>
      </c>
    </row>
    <row r="105" spans="2:7" x14ac:dyDescent="0.3">
      <c r="B105" s="35" t="s">
        <v>203</v>
      </c>
      <c r="C105" s="35"/>
      <c r="D105" s="71">
        <v>0.41274125779999998</v>
      </c>
      <c r="E105" s="71">
        <v>9.8535983300000005E-2</v>
      </c>
      <c r="F105" s="71">
        <v>0.29163794719999997</v>
      </c>
      <c r="G105" s="71">
        <v>0.19709912289999998</v>
      </c>
    </row>
    <row r="106" spans="2:7" x14ac:dyDescent="0.3">
      <c r="B106" s="35" t="s">
        <v>204</v>
      </c>
      <c r="C106" s="35"/>
      <c r="D106" s="71">
        <v>0.41273480010000002</v>
      </c>
      <c r="E106" s="71">
        <v>9.8534441600000008E-2</v>
      </c>
      <c r="F106" s="71">
        <v>0.29163338430000002</v>
      </c>
      <c r="G106" s="71">
        <v>0.19709603919999999</v>
      </c>
    </row>
    <row r="107" spans="2:7" x14ac:dyDescent="0.3">
      <c r="B107" s="64"/>
      <c r="C107" s="64"/>
      <c r="D107" s="64"/>
      <c r="E107" s="64"/>
      <c r="F107" s="64"/>
      <c r="G107" s="64"/>
    </row>
    <row r="108" spans="2:7" x14ac:dyDescent="0.3">
      <c r="B108" s="135" t="s">
        <v>284</v>
      </c>
      <c r="C108" s="64"/>
      <c r="D108" s="64"/>
      <c r="E108" s="64"/>
      <c r="F108" s="64"/>
      <c r="G108" s="64"/>
    </row>
    <row r="109" spans="2:7" x14ac:dyDescent="0.3">
      <c r="B109" s="35"/>
      <c r="C109" s="35"/>
      <c r="D109" s="305" t="s">
        <v>190</v>
      </c>
      <c r="E109" s="305" t="s">
        <v>191</v>
      </c>
      <c r="F109" s="305" t="s">
        <v>192</v>
      </c>
      <c r="G109" s="30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71"/>
      <c r="E111" s="71"/>
      <c r="F111" s="71"/>
      <c r="G111" s="71"/>
    </row>
    <row r="112" spans="2:7" x14ac:dyDescent="0.3">
      <c r="B112" s="35" t="s">
        <v>196</v>
      </c>
      <c r="C112" s="35"/>
      <c r="D112" s="71">
        <f t="shared" ref="D112:G120" si="8">((D98*$C$26)+(D84*$D$26))/($C$26+$D$26)</f>
        <v>0.39769197799808981</v>
      </c>
      <c r="E112" s="71">
        <f t="shared" si="8"/>
        <v>8.512776690845017E-2</v>
      </c>
      <c r="F112" s="71">
        <f t="shared" si="8"/>
        <v>0.25265748787228293</v>
      </c>
      <c r="G112" s="71">
        <f t="shared" si="8"/>
        <v>0.26452276722117707</v>
      </c>
    </row>
    <row r="113" spans="2:7" x14ac:dyDescent="0.3">
      <c r="B113" s="35" t="s">
        <v>197</v>
      </c>
      <c r="C113" s="35"/>
      <c r="D113" s="71">
        <f t="shared" si="8"/>
        <v>0.51666134768573579</v>
      </c>
      <c r="E113" s="71">
        <f t="shared" si="8"/>
        <v>0.11059369866547396</v>
      </c>
      <c r="F113" s="71">
        <f t="shared" si="8"/>
        <v>0.32823985750000007</v>
      </c>
      <c r="G113" s="71">
        <f t="shared" si="8"/>
        <v>4.4505096148790169E-2</v>
      </c>
    </row>
    <row r="114" spans="2:7" x14ac:dyDescent="0.3">
      <c r="B114" s="35" t="s">
        <v>198</v>
      </c>
      <c r="C114" s="35"/>
      <c r="D114" s="71">
        <f t="shared" si="8"/>
        <v>0.39769197799808981</v>
      </c>
      <c r="E114" s="71">
        <f t="shared" si="8"/>
        <v>8.512776690845017E-2</v>
      </c>
      <c r="F114" s="71">
        <f t="shared" si="8"/>
        <v>0.25265748787228293</v>
      </c>
      <c r="G114" s="71">
        <f t="shared" si="8"/>
        <v>0.26452276722117707</v>
      </c>
    </row>
    <row r="115" spans="2:7" x14ac:dyDescent="0.3">
      <c r="B115" s="35" t="s">
        <v>199</v>
      </c>
      <c r="C115" s="35"/>
      <c r="D115" s="71">
        <f t="shared" si="8"/>
        <v>0.39769197799808981</v>
      </c>
      <c r="E115" s="71">
        <f t="shared" si="8"/>
        <v>8.512776690845017E-2</v>
      </c>
      <c r="F115" s="71">
        <f t="shared" si="8"/>
        <v>0.25265748787228293</v>
      </c>
      <c r="G115" s="71">
        <f t="shared" si="8"/>
        <v>0.26452276722117707</v>
      </c>
    </row>
    <row r="116" spans="2:7" x14ac:dyDescent="0.3">
      <c r="B116" s="35" t="s">
        <v>200</v>
      </c>
      <c r="C116" s="35"/>
      <c r="D116" s="71">
        <f t="shared" si="8"/>
        <v>0.39769197799808981</v>
      </c>
      <c r="E116" s="71">
        <f t="shared" si="8"/>
        <v>8.512776690845017E-2</v>
      </c>
      <c r="F116" s="71">
        <f t="shared" si="8"/>
        <v>0.25265748787228293</v>
      </c>
      <c r="G116" s="71">
        <f t="shared" si="8"/>
        <v>0.26452276722117707</v>
      </c>
    </row>
    <row r="117" spans="2:7" x14ac:dyDescent="0.3">
      <c r="B117" s="35" t="s">
        <v>201</v>
      </c>
      <c r="C117" s="35"/>
      <c r="D117" s="71">
        <f t="shared" si="8"/>
        <v>0.39769197799808981</v>
      </c>
      <c r="E117" s="71">
        <f t="shared" si="8"/>
        <v>8.512776690845017E-2</v>
      </c>
      <c r="F117" s="71">
        <f t="shared" si="8"/>
        <v>0.25265748787228293</v>
      </c>
      <c r="G117" s="71">
        <f t="shared" si="8"/>
        <v>0.26452276722117707</v>
      </c>
    </row>
    <row r="118" spans="2:7" x14ac:dyDescent="0.3">
      <c r="B118" s="35" t="s">
        <v>202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">
      <c r="B119" s="35" t="s">
        <v>203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  <row r="120" spans="2:7" x14ac:dyDescent="0.3">
      <c r="B120" s="35" t="s">
        <v>204</v>
      </c>
      <c r="C120" s="35"/>
      <c r="D120" s="71">
        <f t="shared" si="8"/>
        <v>0.39769197799808981</v>
      </c>
      <c r="E120" s="71">
        <f t="shared" si="8"/>
        <v>8.512776690845017E-2</v>
      </c>
      <c r="F120" s="71">
        <f t="shared" si="8"/>
        <v>0.25265748787228293</v>
      </c>
      <c r="G120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41" priority="1" operator="equal">
      <formula>"Escassez Hídrica"</formula>
    </cfRule>
    <cfRule type="cellIs" dxfId="40" priority="2" operator="equal">
      <formula>"VERDE"</formula>
    </cfRule>
    <cfRule type="cellIs" dxfId="39" priority="3" operator="equal">
      <formula>"BVM2"</formula>
    </cfRule>
    <cfRule type="cellIs" dxfId="38" priority="4" operator="equal">
      <formula>"BVM1"</formula>
    </cfRule>
    <cfRule type="cellIs" dxfId="37" priority="5" operator="equal">
      <formula>"BAM"</formula>
    </cfRule>
  </conditionalFormatting>
  <conditionalFormatting sqref="M22">
    <cfRule type="cellIs" dxfId="36" priority="11" operator="equal">
      <formula>"VERDE"</formula>
    </cfRule>
    <cfRule type="cellIs" dxfId="35" priority="12" operator="equal">
      <formula>"BVM2"</formula>
    </cfRule>
    <cfRule type="cellIs" dxfId="34" priority="13" operator="equal">
      <formula>"BVM1"</formula>
    </cfRule>
    <cfRule type="cellIs" dxfId="33" priority="14" operator="equal">
      <formula>"BAM"</formula>
    </cfRule>
  </conditionalFormatting>
  <conditionalFormatting sqref="M26">
    <cfRule type="containsText" dxfId="32" priority="6" operator="containsText" text="Escassez Hídrica">
      <formula>NOT(ISERROR(SEARCH("Escassez Hídrica",M26)))</formula>
    </cfRule>
    <cfRule type="cellIs" dxfId="31" priority="7" operator="equal">
      <formula>"VERDE"</formula>
    </cfRule>
    <cfRule type="cellIs" dxfId="30" priority="8" operator="equal">
      <formula>"BVM2"</formula>
    </cfRule>
    <cfRule type="cellIs" dxfId="29" priority="9" operator="equal">
      <formula>"BVM1"</formula>
    </cfRule>
    <cfRule type="cellIs" dxfId="28" priority="10" operator="equal">
      <formula>"BAM"</formula>
    </cfRule>
  </conditionalFormatting>
  <dataValidations disablePrompts="1" count="2">
    <dataValidation type="list" allowBlank="1" showInputMessage="1" showErrorMessage="1" sqref="B12" xr:uid="{00000000-0002-0000-1500-000000000000}">
      <formula1>$B$71:$B$79</formula1>
    </dataValidation>
    <dataValidation type="list" allowBlank="1" showInputMessage="1" showErrorMessage="1" sqref="I24:J24" xr:uid="{00000000-0002-0000-15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>
    <tabColor rgb="FF0000FF"/>
  </sheetPr>
  <dimension ref="A1:Y119"/>
  <sheetViews>
    <sheetView showGridLines="0" topLeftCell="A18" zoomScale="110" zoomScaleNormal="110" workbookViewId="0">
      <selection activeCell="F44" sqref="F44"/>
    </sheetView>
  </sheetViews>
  <sheetFormatPr defaultColWidth="9.21875" defaultRowHeight="14.4" x14ac:dyDescent="0.3"/>
  <cols>
    <col min="1" max="1" width="5.44140625" style="27" customWidth="1"/>
    <col min="2" max="2" width="21.2187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3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387</v>
      </c>
      <c r="E2" s="438" t="s">
        <v>211</v>
      </c>
      <c r="F2" s="439">
        <f>'B1CDE '!F2</f>
        <v>46023</v>
      </c>
      <c r="G2" s="25" t="s">
        <v>210</v>
      </c>
      <c r="J2" s="25"/>
      <c r="K2" s="25"/>
    </row>
    <row r="4" spans="1:20" ht="15" customHeight="1" x14ac:dyDescent="0.3">
      <c r="B4" s="802" t="s">
        <v>212</v>
      </c>
      <c r="C4" s="803" t="s">
        <v>213</v>
      </c>
      <c r="D4" s="803"/>
      <c r="E4" s="803"/>
      <c r="F4" s="803" t="s">
        <v>214</v>
      </c>
      <c r="G4" s="803"/>
      <c r="H4" s="803"/>
      <c r="I4" s="804" t="s">
        <v>215</v>
      </c>
      <c r="J4" s="804"/>
      <c r="K4" s="804"/>
    </row>
    <row r="5" spans="1:20" x14ac:dyDescent="0.3">
      <c r="B5" s="802"/>
      <c r="C5" s="448" t="s">
        <v>217</v>
      </c>
      <c r="D5" s="448" t="s">
        <v>7</v>
      </c>
      <c r="E5" s="448" t="s">
        <v>218</v>
      </c>
      <c r="F5" s="448" t="s">
        <v>217</v>
      </c>
      <c r="G5" s="448" t="s">
        <v>7</v>
      </c>
      <c r="H5" s="448" t="s">
        <v>218</v>
      </c>
      <c r="I5" s="473" t="s">
        <v>217</v>
      </c>
      <c r="J5" s="473" t="s">
        <v>7</v>
      </c>
      <c r="K5" s="473" t="s">
        <v>218</v>
      </c>
    </row>
    <row r="6" spans="1:20" ht="18" x14ac:dyDescent="0.3">
      <c r="B6" s="474" t="s">
        <v>387</v>
      </c>
      <c r="C6" s="475">
        <v>0.21831999999999999</v>
      </c>
      <c r="D6" s="475">
        <v>0.15450999999999998</v>
      </c>
      <c r="E6" s="475">
        <f t="shared" ref="E6:E7" si="0">C6+D6</f>
        <v>0.37282999999999999</v>
      </c>
      <c r="F6" s="476">
        <v>0.25117</v>
      </c>
      <c r="G6" s="476">
        <v>0.18152000000000001</v>
      </c>
      <c r="H6" s="475">
        <f t="shared" ref="H6:H7" si="1">F6+G6</f>
        <v>0.43269000000000002</v>
      </c>
      <c r="I6" s="475">
        <f>((C6*$C$26)+(F6*$D$26))/($D$26+$C$26)</f>
        <v>0.25117</v>
      </c>
      <c r="J6" s="475">
        <f>((D6*$C$26)+(G6*$D$26))/($D$26+$C$26)</f>
        <v>0.18152000000000001</v>
      </c>
      <c r="K6" s="475">
        <f t="shared" ref="K6:K7" si="2">I6+J6</f>
        <v>0.43269000000000002</v>
      </c>
    </row>
    <row r="7" spans="1:20" x14ac:dyDescent="0.3">
      <c r="A7" s="27" t="s">
        <v>210</v>
      </c>
      <c r="B7" s="477" t="s">
        <v>216</v>
      </c>
      <c r="C7" s="475">
        <v>6.328389525330451E-5</v>
      </c>
      <c r="D7" s="475">
        <v>-1.1402328018172182E-3</v>
      </c>
      <c r="E7" s="475">
        <f t="shared" si="0"/>
        <v>-1.0769489065639137E-3</v>
      </c>
      <c r="F7" s="476">
        <v>6.8467027282460423E-5</v>
      </c>
      <c r="G7" s="476">
        <v>-7.0025999999999997E-4</v>
      </c>
      <c r="H7" s="475">
        <f t="shared" si="1"/>
        <v>-6.3179297271753949E-4</v>
      </c>
      <c r="I7" s="475">
        <f>((C7*$C$26)+(F7*$D$26))/($D$26+$C$26)</f>
        <v>6.8467027282460423E-5</v>
      </c>
      <c r="J7" s="475">
        <f>((D7*$C$26)+(G7*$D$26))/($D$26+$C$26)</f>
        <v>-7.0025999999999997E-4</v>
      </c>
      <c r="K7" s="475">
        <f t="shared" si="2"/>
        <v>-6.3179297271753949E-4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40" t="s">
        <v>227</v>
      </c>
      <c r="K10" s="440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41" t="s">
        <v>229</v>
      </c>
      <c r="C11" s="441" t="s">
        <v>230</v>
      </c>
      <c r="F11" s="27"/>
      <c r="G11" s="27"/>
      <c r="J11" s="442">
        <f>IF(AND($B$26&lt;$F$2,$E$26&lt;$F$2),#REF!,IF($B$26&lt;$F$2,K15,J15))</f>
        <v>0.109321105140019</v>
      </c>
      <c r="K11" s="443">
        <f>D31*J11</f>
        <v>43.181836530307507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38" t="s">
        <v>202</v>
      </c>
      <c r="C12" s="444">
        <f>J51</f>
        <v>174.14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445" t="s">
        <v>231</v>
      </c>
      <c r="J13" s="445" t="s">
        <v>232</v>
      </c>
      <c r="K13" s="44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46"/>
      <c r="C14" s="447" t="s">
        <v>170</v>
      </c>
      <c r="D14" s="27"/>
      <c r="E14" s="27"/>
      <c r="F14" s="27"/>
      <c r="G14" s="27"/>
      <c r="I14" s="448" t="s">
        <v>234</v>
      </c>
      <c r="J14" s="448" t="s">
        <v>234</v>
      </c>
      <c r="K14" s="44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46" t="s">
        <v>190</v>
      </c>
      <c r="C15" s="444">
        <f>$C$12*(VLOOKUP($B$12,B111:G119,3,0))</f>
        <v>69.254081048587352</v>
      </c>
      <c r="D15" s="27"/>
      <c r="E15" s="27"/>
      <c r="F15" s="27"/>
      <c r="G15" s="27"/>
      <c r="I15" s="449">
        <v>0.10873138</v>
      </c>
      <c r="J15" s="449">
        <v>0.109321105140019</v>
      </c>
      <c r="K15" s="449">
        <f>((I15*$C$26)+(J15*$D$26))/($D$26+$C$26)</f>
        <v>0.109321105140019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46" t="s">
        <v>192</v>
      </c>
      <c r="C16" s="444">
        <f>$C$12*(VLOOKUP($B$12,B111:G119,5,0))</f>
        <v>43.997774938079345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46" t="s">
        <v>191</v>
      </c>
      <c r="C17" s="444">
        <f>$C$12*(VLOOKUP($B$12,B111:G119,4,0))</f>
        <v>14.824149329437512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46" t="s">
        <v>235</v>
      </c>
      <c r="C18" s="444">
        <f>$C$12*(VLOOKUP($B$12,B111:G119,6,0))</f>
        <v>46.063994683895771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46" t="s">
        <v>236</v>
      </c>
      <c r="C19" s="444">
        <f>L51</f>
        <v>47.005103917662368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47" t="s">
        <v>237</v>
      </c>
      <c r="C20" s="450">
        <f>SUM(C15:C19)</f>
        <v>221.14510391766237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f>'B1C ICMS'!B26</f>
        <v>46125</v>
      </c>
      <c r="C26" s="32">
        <f>IF((F2-B26-1)&lt;0,0,(F2-B26-1))</f>
        <v>0</v>
      </c>
      <c r="D26" s="32">
        <f>E26-F2+1</f>
        <v>133</v>
      </c>
      <c r="E26" s="122">
        <f>'B1C ICMS'!E26</f>
        <v>46155</v>
      </c>
      <c r="F26" s="451">
        <f>E26</f>
        <v>46155</v>
      </c>
      <c r="G26" s="25"/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395</v>
      </c>
      <c r="E31" s="171">
        <f>(ROUND(D31*K31,2)+ROUND(G31,2)+ROUND(J31,2))/ROUND(D31,4)</f>
        <v>0.31896202531645562</v>
      </c>
      <c r="F31" s="169">
        <f>ROUND(D31*E31,2)</f>
        <v>125.99</v>
      </c>
      <c r="G31" s="169">
        <f>((D31*K31)/(1-$N$31-$N$32))*($N$31+$N$32)</f>
        <v>4.1015540508174535</v>
      </c>
      <c r="H31" s="176">
        <f>ROUND((D31*K31)/(1-$N$31-$N$32)/(1-$I$31),8)</f>
        <v>125.99232201</v>
      </c>
      <c r="I31" s="247">
        <v>0.18</v>
      </c>
      <c r="J31" s="176">
        <f>H31*$I$31</f>
        <v>22.678617961799997</v>
      </c>
      <c r="K31" s="267">
        <f>I6</f>
        <v>0.25117</v>
      </c>
      <c r="L31" s="95" t="s">
        <v>263</v>
      </c>
      <c r="M31" s="169">
        <f>D65</f>
        <v>181.33916484431947</v>
      </c>
      <c r="N31" s="237">
        <f>'B1CDE '!N36</f>
        <v>7.1000000000000004E-3</v>
      </c>
      <c r="O31" s="178">
        <f>ROUND(M31*N31,2)</f>
        <v>1.29</v>
      </c>
    </row>
    <row r="32" spans="1:25" x14ac:dyDescent="0.3">
      <c r="B32" s="163" t="s">
        <v>289</v>
      </c>
      <c r="C32" s="164" t="s">
        <v>262</v>
      </c>
      <c r="D32" s="184">
        <f>D31</f>
        <v>395</v>
      </c>
      <c r="E32" s="171">
        <f>(ROUND(D32*K32,2)+ROUND(G32,2)+ROUND(J32,2))/ROUND(D32,4)</f>
        <v>0.23050632911392405</v>
      </c>
      <c r="F32" s="169">
        <f t="shared" ref="F32:F36" si="3">ROUND(D32*E32,2)</f>
        <v>91.05</v>
      </c>
      <c r="G32" s="169">
        <f>((D32*K32)/(1-$N$31-$N$32))*($N$31+$N$32)</f>
        <v>2.9641839841716129</v>
      </c>
      <c r="H32" s="176">
        <f t="shared" ref="H32:H36" si="4">(D32*K32)/(1-$N$31-$N$32)/(1-$I$31)</f>
        <v>91.054370712404406</v>
      </c>
      <c r="I32" s="163"/>
      <c r="J32" s="176">
        <f t="shared" ref="J32:J36" si="5">H32*$I$31</f>
        <v>16.389786728232792</v>
      </c>
      <c r="K32" s="267">
        <f>J6</f>
        <v>0.18152000000000001</v>
      </c>
      <c r="L32" s="95" t="s">
        <v>265</v>
      </c>
      <c r="M32" s="169">
        <f>M31</f>
        <v>181.33916484431947</v>
      </c>
      <c r="N32" s="237">
        <f>'B1CDE '!N37</f>
        <v>3.2599999999999997E-2</v>
      </c>
      <c r="O32" s="178">
        <f>ROUND(M32*N32,2)</f>
        <v>5.91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171.16666666666666</v>
      </c>
      <c r="E33" s="171">
        <f>IFERROR((ROUND(D33*K33,2)+ROUND(G33,2)+ROUND(J33,2))/ROUND(D33,4), 0)</f>
        <v>2.3953257263241039E-2</v>
      </c>
      <c r="F33" s="169">
        <f t="shared" si="3"/>
        <v>4.0999999999999996</v>
      </c>
      <c r="G33" s="169">
        <f t="shared" ref="G33:G36" si="6">((D33*K33)/(1-$N$31-$N$32))*($N$31+$N$32)</f>
        <v>0.13338719063487101</v>
      </c>
      <c r="H33" s="176">
        <f t="shared" si="4"/>
        <v>4.0974132406116306</v>
      </c>
      <c r="I33" s="163"/>
      <c r="J33" s="176">
        <f t="shared" si="5"/>
        <v>0.73753438331009347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6" si="7">K34/(1-$N$31-$N$32)/(1-$I$31)</f>
        <v>5.6676902289172847E-2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7"/>
        <v>0.10003225618010632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7"/>
        <v>0.18032982579122883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">
      <c r="B37" s="422" t="s">
        <v>271</v>
      </c>
      <c r="C37" s="422"/>
      <c r="D37" s="423"/>
      <c r="E37" s="422"/>
      <c r="F37" s="345">
        <v>0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422" t="s">
        <v>271</v>
      </c>
      <c r="C38" s="422"/>
      <c r="D38" s="423"/>
      <c r="E38" s="422"/>
      <c r="F38" s="345"/>
      <c r="G38" s="163"/>
      <c r="H38" s="163"/>
      <c r="I38" s="163"/>
      <c r="J38" s="163"/>
      <c r="K38" s="163"/>
      <c r="O38" s="46"/>
      <c r="R38" s="187"/>
    </row>
    <row r="39" spans="2:19" x14ac:dyDescent="0.3">
      <c r="B39" s="422" t="s">
        <v>271</v>
      </c>
      <c r="C39" s="422"/>
      <c r="D39" s="423"/>
      <c r="E39" s="422"/>
      <c r="F39" s="345">
        <v>0</v>
      </c>
      <c r="G39" s="163"/>
      <c r="H39" s="163"/>
      <c r="I39" s="163"/>
      <c r="J39" s="163"/>
      <c r="K39" s="163"/>
      <c r="O39" s="46"/>
      <c r="R39" s="187"/>
    </row>
    <row r="40" spans="2:19" x14ac:dyDescent="0.3">
      <c r="B40" s="422" t="s">
        <v>271</v>
      </c>
      <c r="C40" s="422"/>
      <c r="D40" s="423"/>
      <c r="E40" s="422"/>
      <c r="F40" s="345">
        <v>0</v>
      </c>
      <c r="G40" s="163"/>
      <c r="H40" s="163"/>
      <c r="I40" s="163"/>
      <c r="J40" s="163"/>
      <c r="K40" s="163"/>
      <c r="O40" s="46"/>
      <c r="R40" s="187"/>
    </row>
    <row r="41" spans="2:19" x14ac:dyDescent="0.3">
      <c r="B41" s="422" t="s">
        <v>272</v>
      </c>
      <c r="C41" s="422"/>
      <c r="D41" s="423"/>
      <c r="E41" s="422"/>
      <c r="F41" s="345"/>
      <c r="G41" s="163"/>
      <c r="H41" s="163"/>
      <c r="I41" s="163"/>
      <c r="J41" s="163"/>
      <c r="K41" s="163"/>
      <c r="O41" s="46"/>
    </row>
    <row r="42" spans="2:19" x14ac:dyDescent="0.3">
      <c r="B42" s="253" t="s">
        <v>426</v>
      </c>
      <c r="C42" s="253"/>
      <c r="D42" s="254"/>
      <c r="E42" s="253">
        <v>1.2E-2</v>
      </c>
      <c r="F42" s="257">
        <f>-SUM(F31:F37)*$E$43</f>
        <v>0</v>
      </c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">
      <c r="B44" s="170" t="s">
        <v>177</v>
      </c>
      <c r="C44" s="166"/>
      <c r="D44" s="185"/>
      <c r="E44" s="166"/>
      <c r="F44" s="172">
        <f>SUM(F31:F43)</f>
        <v>221.14</v>
      </c>
      <c r="G44" s="175">
        <f>SUM(G31:G43)</f>
        <v>7.1991252256239378</v>
      </c>
      <c r="H44" s="177">
        <f>SUM(H31:H43)</f>
        <v>221.14410596301605</v>
      </c>
      <c r="I44" s="166"/>
      <c r="J44" s="177">
        <f>SUM(J31:J43)</f>
        <v>39.805939073342884</v>
      </c>
      <c r="K44" s="166"/>
      <c r="L44" s="53"/>
      <c r="M44" s="53"/>
      <c r="N44" s="53"/>
      <c r="O44" s="241">
        <f>F44</f>
        <v>221.14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-0.2495582242234281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800">
        <f>SUM(H53:H59)</f>
        <v>174.14</v>
      </c>
      <c r="K51" s="801"/>
      <c r="L51" s="800">
        <f>SUM(H65:H67)</f>
        <v>47.005103917662368</v>
      </c>
      <c r="M51" s="80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38"/>
      <c r="C52" s="27"/>
      <c r="D52" s="26"/>
      <c r="E52" s="26"/>
      <c r="F52" s="26"/>
      <c r="G52" s="26"/>
      <c r="H52" s="39"/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 t="s">
        <v>292</v>
      </c>
      <c r="C53" s="27"/>
      <c r="D53" s="123">
        <f>D31</f>
        <v>395</v>
      </c>
      <c r="E53" s="41">
        <f>IF(AND($B$26&lt;$F$2,$E$26&lt;$F$2),C6,IF($B$26&lt;$F$2,I6,F6))</f>
        <v>0.25117</v>
      </c>
      <c r="F53" s="41">
        <f>IF(AND($B$26&lt;$F$2,$E$26&lt;$F$2),D6,IF($B$26&lt;$F$2,J6,G6))</f>
        <v>0.18152000000000001</v>
      </c>
      <c r="G53" s="41">
        <f>E53+F53</f>
        <v>0.43269000000000002</v>
      </c>
      <c r="H53" s="42">
        <f>ROUND((D53*E53),2)+ROUND((D53*F53),2)</f>
        <v>170.91</v>
      </c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/>
      <c r="C54" s="27"/>
      <c r="D54" s="40"/>
      <c r="E54" s="43"/>
      <c r="F54" s="44"/>
      <c r="G54" s="44"/>
      <c r="H54" s="42"/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5"/>
      <c r="E55" s="27"/>
      <c r="F55" s="27"/>
      <c r="G55" s="27"/>
      <c r="H55" s="46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 t="s">
        <v>268</v>
      </c>
      <c r="C56" s="27"/>
      <c r="D56" s="47">
        <f>IF($I$24=$M$23,(D53*(I26)/(I26+J26)),0)+IF($J$24=$M$23,(D53*(J26)/(I26+J26)),0)</f>
        <v>171.16666666666666</v>
      </c>
      <c r="E56" s="27"/>
      <c r="F56" s="48">
        <f>N23</f>
        <v>1.8849999999999999E-2</v>
      </c>
      <c r="G56" s="48"/>
      <c r="H56" s="42">
        <f>ROUND(D56*(E56+F56),2)</f>
        <v>3.23</v>
      </c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269</v>
      </c>
      <c r="C57" s="27"/>
      <c r="D57" s="47">
        <f>IF($I$24=$M$24,(D53*(I26)/(I26+J26)),0)+IF($J$24=$M$24,(D53*(J26)/(I26+J26)),0)</f>
        <v>0</v>
      </c>
      <c r="E57" s="27"/>
      <c r="F57" s="48">
        <f>N24</f>
        <v>4.4630000000000003E-2</v>
      </c>
      <c r="G57" s="48"/>
      <c r="H57" s="42">
        <f>ROUND(D57*(E57+F57),2)</f>
        <v>0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270</v>
      </c>
      <c r="C58" s="27"/>
      <c r="D58" s="47">
        <f>IF($I$24=$M$25,(D53*(I26)/(I26+J26)),0)+IF($J$24=$M$25,(D53*(J26)/(I26+J26)),0)</f>
        <v>0</v>
      </c>
      <c r="E58" s="27"/>
      <c r="F58" s="48">
        <f>N25</f>
        <v>7.8770000000000007E-2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280</v>
      </c>
      <c r="C59" s="27"/>
      <c r="D59" s="47">
        <f>IF($I$24=$M$26,(D53*(I26)/(I26+J26)),0)+IF($J$24=$M$26,(D53*(J26)/(I26+J26)),0)</f>
        <v>0</v>
      </c>
      <c r="E59" s="27"/>
      <c r="F59" s="48">
        <f>N26</f>
        <v>0.14199999999999999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/>
      <c r="C60" s="27"/>
      <c r="D60" s="45"/>
      <c r="E60" s="27"/>
      <c r="F60" s="27"/>
      <c r="G60" s="27"/>
      <c r="H60" s="42"/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50"/>
      <c r="C61" s="30"/>
      <c r="D61" s="30"/>
      <c r="E61" s="30"/>
      <c r="F61" s="30"/>
      <c r="G61" s="30"/>
      <c r="H61" s="51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2"/>
      <c r="C62" s="53"/>
      <c r="D62" s="54"/>
      <c r="E62" s="55"/>
      <c r="F62" s="53"/>
      <c r="G62" s="53"/>
      <c r="H62" s="56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7"/>
      <c r="C63" s="58"/>
      <c r="D63" s="58"/>
      <c r="E63" s="58"/>
      <c r="F63" s="58"/>
      <c r="G63" s="58"/>
      <c r="H63" s="59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38"/>
      <c r="C64" s="27"/>
      <c r="D64" s="23" t="s">
        <v>286</v>
      </c>
      <c r="E64" s="37"/>
      <c r="F64" s="37"/>
      <c r="G64" s="37"/>
      <c r="H64" s="60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 t="s">
        <v>282</v>
      </c>
      <c r="C65" s="27"/>
      <c r="D65" s="62">
        <f>(H53+H56+H57+H58+H59)/(1-(E65+E66))</f>
        <v>181.33916484431947</v>
      </c>
      <c r="E65" s="215">
        <f>N31</f>
        <v>7.1000000000000004E-3</v>
      </c>
      <c r="F65" s="27"/>
      <c r="G65" s="27"/>
      <c r="H65" s="42">
        <f>D65*E65</f>
        <v>1.2875080703946684</v>
      </c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265</v>
      </c>
      <c r="C66" s="27"/>
      <c r="D66" s="62">
        <f>D65</f>
        <v>181.33916484431947</v>
      </c>
      <c r="E66" s="215">
        <f>N32</f>
        <v>3.2599999999999997E-2</v>
      </c>
      <c r="F66" s="27"/>
      <c r="G66" s="27"/>
      <c r="H66" s="42">
        <f>D66*E66</f>
        <v>5.9116567739248138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283</v>
      </c>
      <c r="C67" s="27"/>
      <c r="D67" s="62">
        <f>SUM(H31:H35)</f>
        <v>221.14410596301605</v>
      </c>
      <c r="E67" s="249">
        <f>I31</f>
        <v>0.18</v>
      </c>
      <c r="F67" s="27"/>
      <c r="G67" s="27"/>
      <c r="H67" s="42">
        <f>D67*E67</f>
        <v>39.805939073342884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52"/>
      <c r="C68" s="53"/>
      <c r="D68" s="53"/>
      <c r="E68" s="53"/>
      <c r="F68" s="53"/>
      <c r="G68" s="53"/>
      <c r="H68" s="63"/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B70" s="35" t="s">
        <v>196</v>
      </c>
      <c r="C70" s="35"/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197</v>
      </c>
      <c r="C71" s="35"/>
      <c r="D71" s="37"/>
      <c r="E71" s="37" t="s">
        <v>210</v>
      </c>
      <c r="F71" s="37"/>
      <c r="G71" s="37"/>
      <c r="H71" s="61"/>
      <c r="L71" s="25"/>
      <c r="M71" s="25"/>
      <c r="N71" s="25"/>
      <c r="O71" s="25"/>
    </row>
    <row r="72" spans="2:25" hidden="1" x14ac:dyDescent="0.3">
      <c r="B72" s="35" t="s">
        <v>198</v>
      </c>
      <c r="C72" s="35"/>
    </row>
    <row r="73" spans="2:25" hidden="1" x14ac:dyDescent="0.3">
      <c r="B73" s="35" t="s">
        <v>199</v>
      </c>
      <c r="C73" s="35"/>
    </row>
    <row r="74" spans="2:25" hidden="1" x14ac:dyDescent="0.3">
      <c r="B74" s="35" t="s">
        <v>200</v>
      </c>
      <c r="C74" s="35"/>
    </row>
    <row r="75" spans="2:25" hidden="1" x14ac:dyDescent="0.3">
      <c r="B75" s="35" t="s">
        <v>201</v>
      </c>
      <c r="C75" s="35"/>
    </row>
    <row r="76" spans="2:25" hidden="1" x14ac:dyDescent="0.3">
      <c r="B76" s="35" t="s">
        <v>202</v>
      </c>
      <c r="C76" s="35"/>
    </row>
    <row r="77" spans="2:25" hidden="1" x14ac:dyDescent="0.3">
      <c r="B77" s="35" t="s">
        <v>203</v>
      </c>
      <c r="C77" s="35"/>
    </row>
    <row r="78" spans="2:25" hidden="1" x14ac:dyDescent="0.3">
      <c r="B78" s="35" t="s">
        <v>204</v>
      </c>
      <c r="C78" s="35"/>
    </row>
    <row r="79" spans="2:25" hidden="1" x14ac:dyDescent="0.3">
      <c r="E79" s="142"/>
    </row>
    <row r="80" spans="2:25" hidden="1" x14ac:dyDescent="0.3">
      <c r="B80" s="35">
        <v>2025</v>
      </c>
      <c r="C80" s="35"/>
      <c r="D80" s="305" t="s">
        <v>190</v>
      </c>
      <c r="E80" s="305" t="s">
        <v>191</v>
      </c>
      <c r="F80" s="305" t="s">
        <v>192</v>
      </c>
      <c r="G80" s="305" t="s">
        <v>193</v>
      </c>
    </row>
    <row r="81" spans="2:10" x14ac:dyDescent="0.3">
      <c r="B81" s="35" t="s">
        <v>194</v>
      </c>
      <c r="C81" s="35"/>
      <c r="D81" s="305" t="s">
        <v>195</v>
      </c>
      <c r="E81" s="305" t="s">
        <v>195</v>
      </c>
      <c r="F81" s="305" t="s">
        <v>195</v>
      </c>
      <c r="G81" s="305" t="s">
        <v>195</v>
      </c>
    </row>
    <row r="82" spans="2:10" x14ac:dyDescent="0.3">
      <c r="B82" s="35"/>
      <c r="C82" s="35"/>
      <c r="D82" s="305"/>
      <c r="E82" s="305"/>
      <c r="F82" s="305"/>
      <c r="G82" s="305"/>
    </row>
    <row r="83" spans="2:10" x14ac:dyDescent="0.3">
      <c r="B83" s="35" t="s">
        <v>196</v>
      </c>
      <c r="C83" s="35"/>
      <c r="D83" s="306">
        <v>0.39769197799808981</v>
      </c>
      <c r="E83" s="306">
        <v>8.512776690845017E-2</v>
      </c>
      <c r="F83" s="306">
        <v>0.25265748787228293</v>
      </c>
      <c r="G83" s="306">
        <v>0.26452276722117707</v>
      </c>
    </row>
    <row r="84" spans="2:10" x14ac:dyDescent="0.3">
      <c r="B84" s="35" t="s">
        <v>197</v>
      </c>
      <c r="C84" s="35"/>
      <c r="D84" s="306">
        <v>0.51666134768573579</v>
      </c>
      <c r="E84" s="306">
        <v>0.11059369866547396</v>
      </c>
      <c r="F84" s="306">
        <v>0.32823985750000007</v>
      </c>
      <c r="G84" s="306">
        <v>4.4505096148790169E-2</v>
      </c>
    </row>
    <row r="85" spans="2:10" x14ac:dyDescent="0.3">
      <c r="B85" s="35" t="s">
        <v>198</v>
      </c>
      <c r="C85" s="35"/>
      <c r="D85" s="306">
        <v>0.39769197799808981</v>
      </c>
      <c r="E85" s="306">
        <v>8.512776690845017E-2</v>
      </c>
      <c r="F85" s="306">
        <v>0.25265748787228293</v>
      </c>
      <c r="G85" s="306">
        <v>0.26452276722117707</v>
      </c>
    </row>
    <row r="86" spans="2:10" x14ac:dyDescent="0.3">
      <c r="B86" s="35" t="s">
        <v>199</v>
      </c>
      <c r="C86" s="35"/>
      <c r="D86" s="306">
        <v>0.39769197799808981</v>
      </c>
      <c r="E86" s="306">
        <v>8.512776690845017E-2</v>
      </c>
      <c r="F86" s="306">
        <v>0.25265748787228293</v>
      </c>
      <c r="G86" s="306">
        <v>0.26452276722117707</v>
      </c>
    </row>
    <row r="87" spans="2:10" x14ac:dyDescent="0.3">
      <c r="B87" s="35" t="s">
        <v>200</v>
      </c>
      <c r="C87" s="35"/>
      <c r="D87" s="306">
        <v>0.39769197799808981</v>
      </c>
      <c r="E87" s="306">
        <v>8.512776690845017E-2</v>
      </c>
      <c r="F87" s="306">
        <v>0.25265748787228293</v>
      </c>
      <c r="G87" s="306">
        <v>0.26452276722117707</v>
      </c>
      <c r="J87" s="30"/>
    </row>
    <row r="88" spans="2:10" x14ac:dyDescent="0.3">
      <c r="B88" s="35" t="s">
        <v>201</v>
      </c>
      <c r="C88" s="35"/>
      <c r="D88" s="306">
        <v>0.39769197799808981</v>
      </c>
      <c r="E88" s="306">
        <v>8.512776690845017E-2</v>
      </c>
      <c r="F88" s="306">
        <v>0.25265748787228293</v>
      </c>
      <c r="G88" s="306">
        <v>0.26452276722117707</v>
      </c>
    </row>
    <row r="89" spans="2:10" x14ac:dyDescent="0.3">
      <c r="B89" s="35" t="s">
        <v>202</v>
      </c>
      <c r="C89" s="35"/>
      <c r="D89" s="306">
        <v>0.39769197799808981</v>
      </c>
      <c r="E89" s="306">
        <v>8.512776690845017E-2</v>
      </c>
      <c r="F89" s="306">
        <v>0.25265748787228293</v>
      </c>
      <c r="G89" s="306">
        <v>0.26452276722117707</v>
      </c>
    </row>
    <row r="90" spans="2:10" x14ac:dyDescent="0.3">
      <c r="B90" s="35" t="s">
        <v>203</v>
      </c>
      <c r="C90" s="35"/>
      <c r="D90" s="306">
        <v>0.39769197799808981</v>
      </c>
      <c r="E90" s="306">
        <v>8.512776690845017E-2</v>
      </c>
      <c r="F90" s="306">
        <v>0.25265748787228293</v>
      </c>
      <c r="G90" s="306">
        <v>0.26452276722117707</v>
      </c>
    </row>
    <row r="91" spans="2:10" x14ac:dyDescent="0.3">
      <c r="B91" s="35" t="s">
        <v>204</v>
      </c>
      <c r="C91" s="35"/>
      <c r="D91" s="306">
        <v>0.39769197799808981</v>
      </c>
      <c r="E91" s="306">
        <v>8.512776690845017E-2</v>
      </c>
      <c r="F91" s="306">
        <v>0.25265748787228293</v>
      </c>
      <c r="G91" s="306">
        <v>0.26452276722117707</v>
      </c>
    </row>
    <row r="92" spans="2:10" x14ac:dyDescent="0.3">
      <c r="B92" s="64"/>
      <c r="C92" s="64"/>
      <c r="D92" s="119"/>
      <c r="E92" s="119"/>
      <c r="F92" s="119"/>
      <c r="G92" s="119"/>
    </row>
    <row r="93" spans="2:10" x14ac:dyDescent="0.3">
      <c r="B93" s="64"/>
      <c r="C93" s="64"/>
      <c r="D93" s="119"/>
      <c r="E93" s="119"/>
      <c r="F93" s="119"/>
      <c r="G93" s="119"/>
    </row>
    <row r="94" spans="2:10" x14ac:dyDescent="0.3">
      <c r="B94" s="35">
        <v>2024</v>
      </c>
      <c r="C94" s="35"/>
      <c r="D94" s="305" t="s">
        <v>190</v>
      </c>
      <c r="E94" s="305" t="s">
        <v>191</v>
      </c>
      <c r="F94" s="305" t="s">
        <v>192</v>
      </c>
      <c r="G94" s="305" t="s">
        <v>193</v>
      </c>
    </row>
    <row r="95" spans="2:10" x14ac:dyDescent="0.3">
      <c r="B95" s="35" t="s">
        <v>194</v>
      </c>
      <c r="C95" s="35"/>
      <c r="D95" s="305" t="s">
        <v>195</v>
      </c>
      <c r="E95" s="305" t="s">
        <v>195</v>
      </c>
      <c r="F95" s="305" t="s">
        <v>195</v>
      </c>
      <c r="G95" s="305" t="s">
        <v>195</v>
      </c>
    </row>
    <row r="96" spans="2:10" x14ac:dyDescent="0.3">
      <c r="B96" s="35"/>
      <c r="C96" s="35"/>
      <c r="D96" s="305"/>
      <c r="E96" s="305"/>
      <c r="F96" s="305"/>
      <c r="G96" s="305"/>
    </row>
    <row r="97" spans="2:7" x14ac:dyDescent="0.3">
      <c r="B97" s="35" t="s">
        <v>196</v>
      </c>
      <c r="C97" s="35"/>
      <c r="D97" s="306">
        <v>0.41273682960000002</v>
      </c>
      <c r="E97" s="306">
        <v>9.8534926200000011E-2</v>
      </c>
      <c r="F97" s="306">
        <v>0.2916348184</v>
      </c>
      <c r="G97" s="306">
        <v>0.19709700829999999</v>
      </c>
    </row>
    <row r="98" spans="2:7" x14ac:dyDescent="0.3">
      <c r="B98" s="35" t="s">
        <v>197</v>
      </c>
      <c r="C98" s="35"/>
      <c r="D98" s="306">
        <v>0.49306718250000003</v>
      </c>
      <c r="E98" s="306">
        <v>0.11771263169999999</v>
      </c>
      <c r="F98" s="306">
        <v>0.34839526770000001</v>
      </c>
      <c r="G98" s="306">
        <v>4.0810691699999999E-2</v>
      </c>
    </row>
    <row r="99" spans="2:7" x14ac:dyDescent="0.3">
      <c r="B99" s="35" t="s">
        <v>198</v>
      </c>
      <c r="C99" s="35"/>
      <c r="D99" s="306">
        <v>0.41273682960000002</v>
      </c>
      <c r="E99" s="306">
        <v>9.8534926200000011E-2</v>
      </c>
      <c r="F99" s="306">
        <v>0.2916348184</v>
      </c>
      <c r="G99" s="306">
        <v>0.19709700829999999</v>
      </c>
    </row>
    <row r="100" spans="2:7" x14ac:dyDescent="0.3">
      <c r="B100" s="35" t="s">
        <v>199</v>
      </c>
      <c r="C100" s="35"/>
      <c r="D100" s="306">
        <v>0.41273682960000002</v>
      </c>
      <c r="E100" s="306">
        <v>9.8534926200000011E-2</v>
      </c>
      <c r="F100" s="306">
        <v>0.2916348184</v>
      </c>
      <c r="G100" s="306">
        <v>0.19709700829999999</v>
      </c>
    </row>
    <row r="101" spans="2:7" x14ac:dyDescent="0.3">
      <c r="B101" s="35" t="s">
        <v>200</v>
      </c>
      <c r="C101" s="35"/>
      <c r="D101" s="306">
        <v>0.41273682960000002</v>
      </c>
      <c r="E101" s="306">
        <v>9.8534926200000011E-2</v>
      </c>
      <c r="F101" s="306">
        <v>0.2916348184</v>
      </c>
      <c r="G101" s="306">
        <v>0.19709700829999999</v>
      </c>
    </row>
    <row r="102" spans="2:7" x14ac:dyDescent="0.3">
      <c r="B102" s="35" t="s">
        <v>201</v>
      </c>
      <c r="C102" s="35"/>
      <c r="D102" s="306">
        <v>0.41273682960000002</v>
      </c>
      <c r="E102" s="306">
        <v>9.8534926200000011E-2</v>
      </c>
      <c r="F102" s="306">
        <v>0.2916348184</v>
      </c>
      <c r="G102" s="306">
        <v>0.19709700829999999</v>
      </c>
    </row>
    <row r="103" spans="2:7" x14ac:dyDescent="0.3">
      <c r="B103" s="35" t="s">
        <v>202</v>
      </c>
      <c r="C103" s="35"/>
      <c r="D103" s="306">
        <v>0.41273480010000002</v>
      </c>
      <c r="E103" s="306">
        <v>9.8534441600000008E-2</v>
      </c>
      <c r="F103" s="306">
        <v>0.29163338430000002</v>
      </c>
      <c r="G103" s="306">
        <v>0.19709603919999999</v>
      </c>
    </row>
    <row r="104" spans="2:7" x14ac:dyDescent="0.3">
      <c r="B104" s="35" t="s">
        <v>203</v>
      </c>
      <c r="C104" s="35"/>
      <c r="D104" s="306">
        <v>0.41274125779999998</v>
      </c>
      <c r="E104" s="306">
        <v>9.8535983300000005E-2</v>
      </c>
      <c r="F104" s="306">
        <v>0.29163794719999997</v>
      </c>
      <c r="G104" s="306">
        <v>0.19709912289999998</v>
      </c>
    </row>
    <row r="105" spans="2:7" x14ac:dyDescent="0.3">
      <c r="B105" s="35" t="s">
        <v>204</v>
      </c>
      <c r="C105" s="35"/>
      <c r="D105" s="306">
        <v>0.41273480010000002</v>
      </c>
      <c r="E105" s="306">
        <v>9.8534441600000008E-2</v>
      </c>
      <c r="F105" s="306">
        <v>0.29163338430000002</v>
      </c>
      <c r="G105" s="306">
        <v>0.19709603919999999</v>
      </c>
    </row>
    <row r="106" spans="2:7" x14ac:dyDescent="0.3">
      <c r="B106" s="64"/>
      <c r="C106" s="64"/>
      <c r="D106" s="119"/>
      <c r="E106" s="119"/>
      <c r="F106" s="119"/>
      <c r="G106" s="119"/>
    </row>
    <row r="107" spans="2:7" x14ac:dyDescent="0.3">
      <c r="B107" s="135" t="s">
        <v>284</v>
      </c>
      <c r="C107" s="64"/>
      <c r="D107" s="119"/>
      <c r="E107" s="119"/>
      <c r="F107" s="119"/>
      <c r="G107" s="119"/>
    </row>
    <row r="108" spans="2:7" x14ac:dyDescent="0.3">
      <c r="B108" s="35"/>
      <c r="C108" s="35"/>
      <c r="D108" s="305" t="s">
        <v>190</v>
      </c>
      <c r="E108" s="305" t="s">
        <v>191</v>
      </c>
      <c r="F108" s="305" t="s">
        <v>192</v>
      </c>
      <c r="G108" s="305" t="s">
        <v>193</v>
      </c>
    </row>
    <row r="109" spans="2:7" x14ac:dyDescent="0.3">
      <c r="B109" s="35" t="s">
        <v>194</v>
      </c>
      <c r="C109" s="35"/>
      <c r="D109" s="306" t="s">
        <v>195</v>
      </c>
      <c r="E109" s="306" t="s">
        <v>195</v>
      </c>
      <c r="F109" s="306" t="s">
        <v>195</v>
      </c>
      <c r="G109" s="306" t="s">
        <v>195</v>
      </c>
    </row>
    <row r="110" spans="2:7" x14ac:dyDescent="0.3">
      <c r="B110" s="35"/>
      <c r="C110" s="35"/>
      <c r="D110" s="306"/>
      <c r="E110" s="306"/>
      <c r="F110" s="306"/>
      <c r="G110" s="306"/>
    </row>
    <row r="111" spans="2:7" x14ac:dyDescent="0.3">
      <c r="B111" s="35" t="s">
        <v>196</v>
      </c>
      <c r="C111" s="35"/>
      <c r="D111" s="306">
        <f t="shared" ref="D111:G119" si="8">((D97*$C$26)+(D83*$D$26))/($C$26+$D$26)</f>
        <v>0.39769197799808981</v>
      </c>
      <c r="E111" s="306">
        <f t="shared" si="8"/>
        <v>8.512776690845017E-2</v>
      </c>
      <c r="F111" s="306">
        <f t="shared" si="8"/>
        <v>0.25265748787228293</v>
      </c>
      <c r="G111" s="306">
        <f t="shared" si="8"/>
        <v>0.26452276722117707</v>
      </c>
    </row>
    <row r="112" spans="2:7" x14ac:dyDescent="0.3">
      <c r="B112" s="35" t="s">
        <v>197</v>
      </c>
      <c r="C112" s="35"/>
      <c r="D112" s="306">
        <f t="shared" si="8"/>
        <v>0.51666134768573579</v>
      </c>
      <c r="E112" s="306">
        <f t="shared" si="8"/>
        <v>0.11059369866547396</v>
      </c>
      <c r="F112" s="306">
        <f t="shared" si="8"/>
        <v>0.32823985750000007</v>
      </c>
      <c r="G112" s="306">
        <f t="shared" si="8"/>
        <v>4.4505096148790169E-2</v>
      </c>
    </row>
    <row r="113" spans="2:7" x14ac:dyDescent="0.3">
      <c r="B113" s="35" t="s">
        <v>198</v>
      </c>
      <c r="C113" s="35"/>
      <c r="D113" s="306">
        <f t="shared" si="8"/>
        <v>0.39769197799808981</v>
      </c>
      <c r="E113" s="306">
        <f t="shared" si="8"/>
        <v>8.512776690845017E-2</v>
      </c>
      <c r="F113" s="306">
        <f t="shared" si="8"/>
        <v>0.25265748787228293</v>
      </c>
      <c r="G113" s="306">
        <f t="shared" si="8"/>
        <v>0.26452276722117707</v>
      </c>
    </row>
    <row r="114" spans="2:7" x14ac:dyDescent="0.3">
      <c r="B114" s="35" t="s">
        <v>199</v>
      </c>
      <c r="C114" s="35"/>
      <c r="D114" s="306">
        <f t="shared" si="8"/>
        <v>0.39769197799808981</v>
      </c>
      <c r="E114" s="306">
        <f t="shared" si="8"/>
        <v>8.512776690845017E-2</v>
      </c>
      <c r="F114" s="306">
        <f t="shared" si="8"/>
        <v>0.25265748787228293</v>
      </c>
      <c r="G114" s="306">
        <f t="shared" si="8"/>
        <v>0.26452276722117707</v>
      </c>
    </row>
    <row r="115" spans="2:7" x14ac:dyDescent="0.3">
      <c r="B115" s="35" t="s">
        <v>200</v>
      </c>
      <c r="C115" s="35"/>
      <c r="D115" s="306">
        <f t="shared" si="8"/>
        <v>0.39769197799808981</v>
      </c>
      <c r="E115" s="306">
        <f t="shared" si="8"/>
        <v>8.512776690845017E-2</v>
      </c>
      <c r="F115" s="306">
        <f t="shared" si="8"/>
        <v>0.25265748787228293</v>
      </c>
      <c r="G115" s="306">
        <f t="shared" si="8"/>
        <v>0.26452276722117707</v>
      </c>
    </row>
    <row r="116" spans="2:7" x14ac:dyDescent="0.3">
      <c r="B116" s="35" t="s">
        <v>201</v>
      </c>
      <c r="C116" s="35"/>
      <c r="D116" s="71">
        <f t="shared" si="8"/>
        <v>0.39769197799808981</v>
      </c>
      <c r="E116" s="71">
        <f t="shared" si="8"/>
        <v>8.512776690845017E-2</v>
      </c>
      <c r="F116" s="71">
        <f t="shared" si="8"/>
        <v>0.25265748787228293</v>
      </c>
      <c r="G116" s="71">
        <f t="shared" si="8"/>
        <v>0.26452276722117707</v>
      </c>
    </row>
    <row r="117" spans="2:7" x14ac:dyDescent="0.3">
      <c r="B117" s="35" t="s">
        <v>202</v>
      </c>
      <c r="C117" s="35"/>
      <c r="D117" s="71">
        <f t="shared" si="8"/>
        <v>0.39769197799808981</v>
      </c>
      <c r="E117" s="71">
        <f t="shared" si="8"/>
        <v>8.512776690845017E-2</v>
      </c>
      <c r="F117" s="71">
        <f t="shared" si="8"/>
        <v>0.25265748787228293</v>
      </c>
      <c r="G117" s="71">
        <f t="shared" si="8"/>
        <v>0.26452276722117707</v>
      </c>
    </row>
    <row r="118" spans="2:7" x14ac:dyDescent="0.3">
      <c r="B118" s="35" t="s">
        <v>203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">
      <c r="B119" s="35" t="s">
        <v>204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27" priority="1" operator="equal">
      <formula>"Escassez Hídrica"</formula>
    </cfRule>
    <cfRule type="cellIs" dxfId="26" priority="2" operator="equal">
      <formula>"VERDE"</formula>
    </cfRule>
    <cfRule type="cellIs" dxfId="25" priority="3" operator="equal">
      <formula>"BVM2"</formula>
    </cfRule>
    <cfRule type="cellIs" dxfId="24" priority="4" operator="equal">
      <formula>"BVM1"</formula>
    </cfRule>
    <cfRule type="cellIs" dxfId="23" priority="5" operator="equal">
      <formula>"BAM"</formula>
    </cfRule>
  </conditionalFormatting>
  <conditionalFormatting sqref="M22">
    <cfRule type="cellIs" dxfId="22" priority="11" operator="equal">
      <formula>"VERDE"</formula>
    </cfRule>
    <cfRule type="cellIs" dxfId="21" priority="12" operator="equal">
      <formula>"BVM2"</formula>
    </cfRule>
    <cfRule type="cellIs" dxfId="20" priority="13" operator="equal">
      <formula>"BVM1"</formula>
    </cfRule>
    <cfRule type="cellIs" dxfId="19" priority="14" operator="equal">
      <formula>"BAM"</formula>
    </cfRule>
  </conditionalFormatting>
  <conditionalFormatting sqref="M26">
    <cfRule type="containsText" dxfId="18" priority="6" operator="containsText" text="Escassez Hídrica">
      <formula>NOT(ISERROR(SEARCH("Escassez Hídrica",M26)))</formula>
    </cfRule>
    <cfRule type="cellIs" dxfId="17" priority="7" operator="equal">
      <formula>"VERDE"</formula>
    </cfRule>
    <cfRule type="cellIs" dxfId="16" priority="8" operator="equal">
      <formula>"BVM2"</formula>
    </cfRule>
    <cfRule type="cellIs" dxfId="15" priority="9" operator="equal">
      <formula>"BVM1"</formula>
    </cfRule>
    <cfRule type="cellIs" dxfId="14" priority="10" operator="equal">
      <formula>"BAM"</formula>
    </cfRule>
  </conditionalFormatting>
  <dataValidations count="2">
    <dataValidation type="list" allowBlank="1" showInputMessage="1" showErrorMessage="1" sqref="I24:J24" xr:uid="{00000000-0002-0000-1600-000000000000}">
      <formula1>$M$22:$M$26</formula1>
    </dataValidation>
    <dataValidation type="list" allowBlank="1" showInputMessage="1" showErrorMessage="1" sqref="B12" xr:uid="{00000000-0002-0000-1600-000001000000}">
      <formula1>$B$70:$B$78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>
    <tabColor rgb="FF0000FF"/>
  </sheetPr>
  <dimension ref="A1:Y120"/>
  <sheetViews>
    <sheetView showGridLines="0" zoomScale="60" zoomScaleNormal="60" workbookViewId="0">
      <selection activeCell="P12" sqref="P12"/>
    </sheetView>
  </sheetViews>
  <sheetFormatPr defaultColWidth="9.21875" defaultRowHeight="14.4" x14ac:dyDescent="0.3"/>
  <cols>
    <col min="1" max="1" width="5.44140625" style="27" customWidth="1"/>
    <col min="2" max="2" width="22.44140625" style="27" customWidth="1"/>
    <col min="3" max="3" width="13.21875" style="27" customWidth="1"/>
    <col min="4" max="4" width="14.5546875" style="27" customWidth="1"/>
    <col min="5" max="5" width="11.77734375" style="27" customWidth="1"/>
    <col min="6" max="6" width="12.21875" style="27" bestFit="1" customWidth="1"/>
    <col min="7" max="12" width="11.77734375" style="27" customWidth="1"/>
    <col min="13" max="13" width="12" style="27" customWidth="1"/>
    <col min="14" max="14" width="11.77734375" style="27" customWidth="1"/>
    <col min="15" max="15" width="14.44140625" style="27" customWidth="1"/>
    <col min="16" max="16" width="14.77734375" style="27" bestFit="1" customWidth="1"/>
    <col min="17" max="17" width="12.44140625" style="27" bestFit="1" customWidth="1"/>
    <col min="18" max="18" width="19.21875" style="27" bestFit="1" customWidth="1"/>
    <col min="19" max="19" width="12.44140625" style="27" bestFit="1" customWidth="1"/>
    <col min="20" max="20" width="12.21875" style="27" bestFit="1" customWidth="1"/>
    <col min="21" max="21" width="13.21875" style="27" bestFit="1" customWidth="1"/>
    <col min="22" max="22" width="11.21875" style="27" bestFit="1" customWidth="1"/>
    <col min="23" max="23" width="12.21875" style="27" bestFit="1" customWidth="1"/>
    <col min="24" max="24" width="13.21875" style="27" bestFit="1" customWidth="1"/>
    <col min="25" max="25" width="11.21875" style="27" bestFit="1" customWidth="1"/>
    <col min="26" max="16384" width="9.21875" style="27"/>
  </cols>
  <sheetData>
    <row r="1" spans="1:20" x14ac:dyDescent="0.3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" x14ac:dyDescent="0.3">
      <c r="A2" s="27" t="s">
        <v>210</v>
      </c>
      <c r="B2" s="12" t="s">
        <v>388</v>
      </c>
      <c r="E2" s="438" t="s">
        <v>211</v>
      </c>
      <c r="F2" s="439">
        <f>'B1CDE '!F2</f>
        <v>46023</v>
      </c>
      <c r="G2" s="25" t="s">
        <v>210</v>
      </c>
      <c r="J2" s="25"/>
      <c r="K2" s="25"/>
    </row>
    <row r="4" spans="1:20" ht="15" customHeight="1" x14ac:dyDescent="0.3">
      <c r="B4" s="802" t="s">
        <v>212</v>
      </c>
      <c r="C4" s="803" t="s">
        <v>213</v>
      </c>
      <c r="D4" s="803"/>
      <c r="E4" s="803"/>
      <c r="F4" s="803" t="s">
        <v>214</v>
      </c>
      <c r="G4" s="803"/>
      <c r="H4" s="803"/>
      <c r="I4" s="804" t="s">
        <v>215</v>
      </c>
      <c r="J4" s="804"/>
      <c r="K4" s="804"/>
    </row>
    <row r="5" spans="1:20" x14ac:dyDescent="0.3">
      <c r="B5" s="802"/>
      <c r="C5" s="448" t="s">
        <v>217</v>
      </c>
      <c r="D5" s="448" t="s">
        <v>7</v>
      </c>
      <c r="E5" s="448" t="s">
        <v>218</v>
      </c>
      <c r="F5" s="448" t="s">
        <v>217</v>
      </c>
      <c r="G5" s="448" t="s">
        <v>7</v>
      </c>
      <c r="H5" s="448" t="s">
        <v>218</v>
      </c>
      <c r="I5" s="473" t="s">
        <v>217</v>
      </c>
      <c r="J5" s="473" t="s">
        <v>7</v>
      </c>
      <c r="K5" s="473" t="s">
        <v>218</v>
      </c>
    </row>
    <row r="6" spans="1:20" ht="18" x14ac:dyDescent="0.3">
      <c r="B6" s="474" t="s">
        <v>388</v>
      </c>
      <c r="C6" s="475">
        <v>0.23816999999999999</v>
      </c>
      <c r="D6" s="475">
        <v>0.16856000000000002</v>
      </c>
      <c r="E6" s="475">
        <f t="shared" ref="E6:E7" si="0">C6+D6</f>
        <v>0.40673000000000004</v>
      </c>
      <c r="F6" s="476">
        <v>0.27400000000000002</v>
      </c>
      <c r="G6" s="476">
        <v>0.19802</v>
      </c>
      <c r="H6" s="475">
        <f t="shared" ref="H6:H7" si="1">F6+G6</f>
        <v>0.47202</v>
      </c>
      <c r="I6" s="475">
        <f>((C6*$C$26)+(F6*$D$26))/($D$26+$C$26)</f>
        <v>0.27400000000000002</v>
      </c>
      <c r="J6" s="475">
        <f>((D6*$C$26)+(G6*$D$26))/($D$26+$C$26)</f>
        <v>0.19802</v>
      </c>
      <c r="K6" s="475">
        <f t="shared" ref="K6:K7" si="2">I6+J6</f>
        <v>0.47202</v>
      </c>
    </row>
    <row r="7" spans="1:20" x14ac:dyDescent="0.3">
      <c r="A7" s="27" t="s">
        <v>210</v>
      </c>
      <c r="B7" s="477" t="s">
        <v>216</v>
      </c>
      <c r="C7" s="475">
        <v>6.9036976639968626E-5</v>
      </c>
      <c r="D7" s="475">
        <v>-1.2438903292551443E-3</v>
      </c>
      <c r="E7" s="475">
        <f t="shared" si="0"/>
        <v>-1.1748533526151758E-3</v>
      </c>
      <c r="F7" s="532">
        <v>7.469130248995685E-5</v>
      </c>
      <c r="G7" s="532">
        <v>-7.6391999999999996E-4</v>
      </c>
      <c r="H7" s="475">
        <f t="shared" si="1"/>
        <v>-6.8922869751004306E-4</v>
      </c>
      <c r="I7" s="531">
        <f>((C7*$C$26)+(F7*$D$26))/($D$26+$C$26)</f>
        <v>7.469130248995685E-5</v>
      </c>
      <c r="J7" s="530">
        <f>((D7*$C$26)+(G7*$D$26))/($D$26+$C$26)</f>
        <v>-7.6391999999999996E-4</v>
      </c>
      <c r="K7" s="475">
        <f t="shared" si="2"/>
        <v>-6.8922869751004306E-4</v>
      </c>
      <c r="O7" s="73"/>
    </row>
    <row r="8" spans="1:20" customFormat="1" x14ac:dyDescent="0.3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">
      <c r="B10" s="770" t="s">
        <v>226</v>
      </c>
      <c r="C10" s="771"/>
      <c r="D10" s="27"/>
      <c r="E10" s="27"/>
      <c r="F10" s="27"/>
      <c r="G10" s="27"/>
      <c r="J10" s="440" t="s">
        <v>227</v>
      </c>
      <c r="K10" s="440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">
      <c r="B11" s="441" t="s">
        <v>229</v>
      </c>
      <c r="C11" s="441" t="s">
        <v>230</v>
      </c>
      <c r="F11" s="27"/>
      <c r="G11" s="27"/>
      <c r="J11" s="442">
        <f>IF(AND($B$26&lt;$F$2,$E$26&lt;$F$2),#REF!,IF($B$26&lt;$F$2,K15,J15))</f>
        <v>0.119259387425475</v>
      </c>
      <c r="K11" s="443">
        <f>D31*J11</f>
        <v>6.3207475335501746</v>
      </c>
      <c r="M11" s="27"/>
      <c r="N11" s="27"/>
      <c r="P11" s="27"/>
      <c r="Q11" s="27"/>
      <c r="R11" s="27"/>
      <c r="S11" s="27"/>
      <c r="T11" s="27"/>
    </row>
    <row r="12" spans="1:20" customFormat="1" x14ac:dyDescent="0.3">
      <c r="B12" s="438" t="s">
        <v>204</v>
      </c>
      <c r="C12" s="444">
        <f>J51</f>
        <v>25.45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">
      <c r="B13" s="26"/>
      <c r="C13" s="26"/>
      <c r="D13" s="27"/>
      <c r="E13" s="27"/>
      <c r="F13" s="27"/>
      <c r="G13" s="27"/>
      <c r="I13" s="445" t="s">
        <v>231</v>
      </c>
      <c r="J13" s="445" t="s">
        <v>232</v>
      </c>
      <c r="K13" s="44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">
      <c r="B14" s="446"/>
      <c r="C14" s="447" t="s">
        <v>170</v>
      </c>
      <c r="D14" s="27"/>
      <c r="E14" s="27"/>
      <c r="F14" s="27"/>
      <c r="G14" s="27"/>
      <c r="I14" s="448" t="s">
        <v>234</v>
      </c>
      <c r="J14" s="448" t="s">
        <v>234</v>
      </c>
      <c r="K14" s="448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">
      <c r="B15" s="446" t="s">
        <v>190</v>
      </c>
      <c r="C15" s="444">
        <f>$C$12*(VLOOKUP($B$12,B112:G120,3,0))</f>
        <v>10.121260840051386</v>
      </c>
      <c r="D15" s="27"/>
      <c r="E15" s="27"/>
      <c r="F15" s="27"/>
      <c r="G15" s="27"/>
      <c r="I15" s="449">
        <v>0.11861605</v>
      </c>
      <c r="J15" s="449">
        <v>0.119259387425475</v>
      </c>
      <c r="K15" s="449">
        <f>((I15*$C$26)+(J15*$D$26))/($D$26+$C$26)</f>
        <v>0.119259387425475</v>
      </c>
      <c r="M15" s="27"/>
      <c r="N15" s="27"/>
      <c r="P15" s="27"/>
      <c r="Q15" s="27"/>
      <c r="R15" s="27"/>
      <c r="S15" s="27"/>
      <c r="T15" s="27"/>
    </row>
    <row r="16" spans="1:20" customFormat="1" x14ac:dyDescent="0.3">
      <c r="B16" s="446" t="s">
        <v>192</v>
      </c>
      <c r="C16" s="444">
        <f>$C$12*(VLOOKUP($B$12,B112:G120,5,0))</f>
        <v>6.4301330663496001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">
      <c r="B17" s="446" t="s">
        <v>191</v>
      </c>
      <c r="C17" s="444">
        <f>$C$12*(VLOOKUP($B$12,B112:G120,4,0))</f>
        <v>2.1665016678200568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">
      <c r="B18" s="446" t="s">
        <v>235</v>
      </c>
      <c r="C18" s="444">
        <f>$C$12*(VLOOKUP($B$12,B112:G120,6,0))</f>
        <v>6.7321044257789566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">
      <c r="B19" s="446" t="s">
        <v>236</v>
      </c>
      <c r="C19" s="444">
        <f>L51</f>
        <v>6.8696723334416099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">
      <c r="B20" s="447" t="s">
        <v>237</v>
      </c>
      <c r="C20" s="450">
        <f>SUM(C15:C19)</f>
        <v>32.319672333441609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">
      <c r="B25" s="22" t="s">
        <v>219</v>
      </c>
      <c r="C25" s="22" t="s">
        <v>434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242</v>
      </c>
      <c r="K25" s="22" t="s">
        <v>222</v>
      </c>
      <c r="M25" s="9" t="s">
        <v>243</v>
      </c>
      <c r="N25" s="10">
        <v>7.8770000000000007E-2</v>
      </c>
    </row>
    <row r="26" spans="1:25" x14ac:dyDescent="0.3">
      <c r="B26" s="122">
        <f>'B1C ICMS'!B26</f>
        <v>46125</v>
      </c>
      <c r="C26" s="32">
        <f>IF((F2-B26-1)&lt;0,0,(F2-B26-1))</f>
        <v>0</v>
      </c>
      <c r="D26" s="32">
        <f>E26-F2+1</f>
        <v>133</v>
      </c>
      <c r="E26" s="122">
        <f>'B1C ICMS'!E26</f>
        <v>46155</v>
      </c>
      <c r="F26" s="451">
        <f>E26</f>
        <v>46155</v>
      </c>
      <c r="G26" s="25"/>
      <c r="H26" s="33">
        <f>B26</f>
        <v>46125</v>
      </c>
      <c r="I26" s="34">
        <f>IF((H24-H26-1)&lt;0,0,(H24-H26-1))</f>
        <v>17</v>
      </c>
      <c r="J26" s="34">
        <f>K26-H24+1</f>
        <v>13</v>
      </c>
      <c r="K26" s="33">
        <f>E26</f>
        <v>46155</v>
      </c>
      <c r="M26" s="21" t="s">
        <v>245</v>
      </c>
      <c r="N26" s="130">
        <v>0.14199999999999999</v>
      </c>
    </row>
    <row r="27" spans="1:25" x14ac:dyDescent="0.3">
      <c r="P27"/>
      <c r="Q27"/>
      <c r="R27"/>
    </row>
    <row r="29" spans="1:25" ht="42" customHeight="1" x14ac:dyDescent="0.3">
      <c r="B29" s="160" t="s">
        <v>53</v>
      </c>
      <c r="C29" s="160" t="s">
        <v>248</v>
      </c>
      <c r="D29" s="160" t="s">
        <v>249</v>
      </c>
      <c r="E29" s="161" t="s">
        <v>250</v>
      </c>
      <c r="F29" s="161" t="s">
        <v>251</v>
      </c>
      <c r="G29" s="161" t="s">
        <v>252</v>
      </c>
      <c r="H29" s="161" t="s">
        <v>253</v>
      </c>
      <c r="I29" s="161" t="s">
        <v>254</v>
      </c>
      <c r="J29" s="161" t="s">
        <v>255</v>
      </c>
      <c r="K29" s="162" t="s">
        <v>256</v>
      </c>
      <c r="L29" s="160" t="s">
        <v>257</v>
      </c>
      <c r="M29" s="161" t="s">
        <v>258</v>
      </c>
      <c r="N29" s="161" t="s">
        <v>259</v>
      </c>
      <c r="O29" s="161" t="s">
        <v>260</v>
      </c>
    </row>
    <row r="30" spans="1:25" x14ac:dyDescent="0.3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">
      <c r="B31" s="163" t="s">
        <v>288</v>
      </c>
      <c r="C31" s="164" t="s">
        <v>262</v>
      </c>
      <c r="D31" s="228">
        <v>53</v>
      </c>
      <c r="E31" s="171">
        <f>(ROUND(D31*K31,2)+ROUND(G31,2)+ROUND(J31,2))/ROUND(D31,4)</f>
        <v>0.34792452830188675</v>
      </c>
      <c r="F31" s="169">
        <f>ROUND(D31*E31,2)</f>
        <v>18.440000000000001</v>
      </c>
      <c r="G31" s="169">
        <f>((D31*K31)/(1-$N$31-$N$32))*($N$31+$N$32)</f>
        <v>0.6003575965844008</v>
      </c>
      <c r="H31" s="176">
        <f>ROUND((D31*K31)/(1-$N$31-$N$32)/(1-$I$31),8)</f>
        <v>18.441899509999999</v>
      </c>
      <c r="I31" s="247">
        <v>0.18</v>
      </c>
      <c r="J31" s="176">
        <f>H31*$I$31</f>
        <v>3.3195419117999996</v>
      </c>
      <c r="K31" s="267">
        <f>I6</f>
        <v>0.27400000000000002</v>
      </c>
      <c r="L31" s="95" t="s">
        <v>263</v>
      </c>
      <c r="M31" s="169">
        <f>D66</f>
        <v>26.502134749557428</v>
      </c>
      <c r="N31" s="237">
        <f>'B1C ICMS'!N31</f>
        <v>7.1000000000000004E-3</v>
      </c>
      <c r="O31" s="178">
        <f>ROUND(M31*N31,2)</f>
        <v>0.19</v>
      </c>
    </row>
    <row r="32" spans="1:25" x14ac:dyDescent="0.3">
      <c r="B32" s="163" t="s">
        <v>289</v>
      </c>
      <c r="C32" s="164" t="s">
        <v>262</v>
      </c>
      <c r="D32" s="184">
        <f>D31</f>
        <v>53</v>
      </c>
      <c r="E32" s="171">
        <f>(ROUND(D32*K32,2)+ROUND(G32,2)+ROUND(J32,2))/ROUND(D32,4)</f>
        <v>0.25150943396226416</v>
      </c>
      <c r="F32" s="169">
        <f t="shared" ref="F32:F36" si="3">ROUND(D32*E32,2)</f>
        <v>13.33</v>
      </c>
      <c r="G32" s="169">
        <f>((D32*K32)/(1-$N$31-$N$32))*($N$31+$N$32)</f>
        <v>0.43387887326877017</v>
      </c>
      <c r="H32" s="176">
        <f t="shared" ref="H32:H36" si="4">(D32*K32)/(1-$N$31-$N$32)/(1-$I$31)</f>
        <v>13.32797423569362</v>
      </c>
      <c r="I32" s="163"/>
      <c r="J32" s="176">
        <f t="shared" ref="J32:J36" si="5">H32*$I$31</f>
        <v>2.3990353624248515</v>
      </c>
      <c r="K32" s="267">
        <f>J6</f>
        <v>0.19802</v>
      </c>
      <c r="L32" s="95" t="s">
        <v>265</v>
      </c>
      <c r="M32" s="169">
        <f>M31</f>
        <v>26.502134749557428</v>
      </c>
      <c r="N32" s="237">
        <f>'B1C ICMS'!N32</f>
        <v>3.2599999999999997E-2</v>
      </c>
      <c r="O32" s="178">
        <f>ROUND(M32*N32,2)</f>
        <v>0.86</v>
      </c>
    </row>
    <row r="33" spans="2:19" x14ac:dyDescent="0.3">
      <c r="B33" s="163" t="s">
        <v>268</v>
      </c>
      <c r="C33" s="164" t="s">
        <v>262</v>
      </c>
      <c r="D33" s="184">
        <f>IF($I$24=M23,(D31*(I26)/(I26+J26)),0)+IF($J$24=M23,(D31*(J26)/(I26+J26)),0)</f>
        <v>22.966666666666665</v>
      </c>
      <c r="E33" s="171">
        <f>IFERROR((ROUND(D33*K33,2)+ROUND(G33,2)+ROUND(J33,2))/ROUND(D33,4), 0)</f>
        <v>2.3947715605637729E-2</v>
      </c>
      <c r="F33" s="169">
        <f t="shared" si="3"/>
        <v>0.55000000000000004</v>
      </c>
      <c r="G33" s="169">
        <f t="shared" ref="G33:G36" si="6">((D33*K33)/(1-$N$31-$N$32))*($N$31+$N$32)</f>
        <v>1.7897521781387756E-2</v>
      </c>
      <c r="H33" s="176">
        <f t="shared" si="4"/>
        <v>0.54977949810738336</v>
      </c>
      <c r="I33" s="163"/>
      <c r="J33" s="176">
        <f t="shared" si="5"/>
        <v>9.8960309659329004E-2</v>
      </c>
      <c r="K33" s="171">
        <f>N23</f>
        <v>1.8849999999999999E-2</v>
      </c>
      <c r="L33" s="63"/>
      <c r="M33" s="166"/>
      <c r="N33" s="166"/>
      <c r="O33" s="166"/>
    </row>
    <row r="34" spans="2:19" x14ac:dyDescent="0.3">
      <c r="B34" s="163" t="s">
        <v>269</v>
      </c>
      <c r="C34" s="164" t="s">
        <v>262</v>
      </c>
      <c r="D34" s="184">
        <f>IF($I$24=M24,(D31*(I26)/(I26+J26)),0)+IF($J$24=M24,(D31*(J26)/(I26+J26)),0)</f>
        <v>0</v>
      </c>
      <c r="E34" s="171">
        <f t="shared" ref="E34:E36" si="7">K34/(1-$N$31-$N$32)/(1-$I$31)</f>
        <v>5.6676902289172847E-2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">
      <c r="B35" s="163" t="s">
        <v>270</v>
      </c>
      <c r="C35" s="164" t="s">
        <v>262</v>
      </c>
      <c r="D35" s="184">
        <f>IF($I$24=M25,(D31*(I26)/(I26+J26)),0)+IF($J$24=M25,(D31*(J26)/(I26+J26)),0)</f>
        <v>0</v>
      </c>
      <c r="E35" s="171">
        <f t="shared" si="7"/>
        <v>0.10003225618010632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">
      <c r="B36" s="163" t="s">
        <v>285</v>
      </c>
      <c r="C36" s="164" t="s">
        <v>262</v>
      </c>
      <c r="D36" s="184">
        <f>IF($I$24=M26,(D31*(I26)/(I26+J26)),0)+IF($J$24=M26,(D31*(J26)/(I26+J26)),0)</f>
        <v>0</v>
      </c>
      <c r="E36" s="171">
        <f t="shared" si="7"/>
        <v>0.18032982579122883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">
      <c r="B37" s="343" t="s">
        <v>271</v>
      </c>
      <c r="C37" s="343"/>
      <c r="D37" s="344"/>
      <c r="E37" s="343"/>
      <c r="F37" s="343">
        <v>1.34</v>
      </c>
      <c r="G37" s="163"/>
      <c r="H37" s="163"/>
      <c r="I37" s="163"/>
      <c r="J37" s="163"/>
      <c r="K37" s="163"/>
      <c r="O37" s="46"/>
      <c r="R37" s="187"/>
    </row>
    <row r="38" spans="2:19" x14ac:dyDescent="0.3">
      <c r="B38" s="343" t="s">
        <v>271</v>
      </c>
      <c r="C38" s="343"/>
      <c r="D38" s="344"/>
      <c r="E38" s="343"/>
      <c r="F38" s="345">
        <v>0</v>
      </c>
      <c r="G38" s="163"/>
      <c r="H38" s="163"/>
      <c r="I38" s="163"/>
      <c r="J38" s="163"/>
      <c r="K38" s="163"/>
      <c r="O38" s="46"/>
      <c r="R38" s="187"/>
    </row>
    <row r="39" spans="2:19" x14ac:dyDescent="0.3">
      <c r="B39" s="343" t="s">
        <v>271</v>
      </c>
      <c r="C39" s="343"/>
      <c r="D39" s="344"/>
      <c r="E39" s="343"/>
      <c r="F39" s="345">
        <v>0</v>
      </c>
      <c r="G39" s="163"/>
      <c r="H39" s="163"/>
      <c r="I39" s="163"/>
      <c r="J39" s="163"/>
      <c r="K39" s="163"/>
      <c r="O39" s="46"/>
      <c r="R39" s="187"/>
    </row>
    <row r="40" spans="2:19" x14ac:dyDescent="0.3">
      <c r="B40" s="343" t="s">
        <v>271</v>
      </c>
      <c r="C40" s="343"/>
      <c r="D40" s="344"/>
      <c r="E40" s="343"/>
      <c r="F40" s="345">
        <v>0</v>
      </c>
      <c r="G40" s="163"/>
      <c r="H40" s="163"/>
      <c r="I40" s="163"/>
      <c r="J40" s="163"/>
      <c r="K40" s="163"/>
      <c r="O40" s="46"/>
      <c r="R40" s="187"/>
    </row>
    <row r="41" spans="2:19" x14ac:dyDescent="0.3">
      <c r="B41" s="343" t="s">
        <v>272</v>
      </c>
      <c r="C41" s="343"/>
      <c r="D41" s="344"/>
      <c r="E41" s="343"/>
      <c r="F41" s="345">
        <v>0</v>
      </c>
      <c r="G41" s="163"/>
      <c r="H41" s="163"/>
      <c r="I41" s="163"/>
      <c r="J41" s="163"/>
      <c r="K41" s="163"/>
      <c r="O41" s="46"/>
    </row>
    <row r="42" spans="2:19" x14ac:dyDescent="0.3">
      <c r="B42" s="163"/>
      <c r="C42" s="163"/>
      <c r="D42" s="184"/>
      <c r="E42" s="163"/>
      <c r="F42" s="163">
        <v>0</v>
      </c>
      <c r="G42" s="163"/>
      <c r="H42" s="163"/>
      <c r="I42" s="163"/>
      <c r="J42" s="163"/>
      <c r="K42" s="163"/>
      <c r="O42" s="46"/>
    </row>
    <row r="43" spans="2:19" x14ac:dyDescent="0.3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">
      <c r="B44" s="170" t="s">
        <v>177</v>
      </c>
      <c r="C44" s="166"/>
      <c r="D44" s="185"/>
      <c r="E44" s="166"/>
      <c r="F44" s="172">
        <f>SUM(F31:F43)</f>
        <v>33.660000000000004</v>
      </c>
      <c r="G44" s="175">
        <f>SUM(G31:G43)</f>
        <v>1.0521339916345587</v>
      </c>
      <c r="H44" s="177">
        <f>SUM(H31:H43)</f>
        <v>32.319653243801</v>
      </c>
      <c r="I44" s="166"/>
      <c r="J44" s="177">
        <f>SUM(J31:J43)</f>
        <v>5.8175375838841799</v>
      </c>
      <c r="K44" s="166"/>
      <c r="L44" s="53"/>
      <c r="M44" s="53"/>
      <c r="N44" s="53"/>
      <c r="O44" s="241">
        <f>F44</f>
        <v>33.660000000000004</v>
      </c>
    </row>
    <row r="46" spans="2:19" x14ac:dyDescent="0.3">
      <c r="B46" s="238" t="s">
        <v>273</v>
      </c>
      <c r="C46" s="239"/>
      <c r="D46" s="240"/>
      <c r="E46" s="240"/>
      <c r="F46" s="251">
        <f>D31*(I7+J7)</f>
        <v>-3.6529120968032285E-2</v>
      </c>
    </row>
    <row r="50" spans="1:25" s="1" customFormat="1" x14ac:dyDescent="0.3">
      <c r="A50" s="1" t="s">
        <v>210</v>
      </c>
      <c r="B50" s="784" t="s">
        <v>290</v>
      </c>
      <c r="C50" s="785"/>
      <c r="D50" s="785"/>
      <c r="E50" s="785"/>
      <c r="F50" s="785"/>
      <c r="G50" s="785"/>
      <c r="H50" s="786"/>
      <c r="I50"/>
      <c r="J50" s="775" t="s">
        <v>278</v>
      </c>
      <c r="K50" s="775"/>
      <c r="L50" s="775" t="s">
        <v>279</v>
      </c>
      <c r="M50" s="775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">
      <c r="B51" s="38"/>
      <c r="C51" s="27"/>
      <c r="D51" s="26" t="s">
        <v>275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800">
        <f>SUM(H54:H60)</f>
        <v>25.45</v>
      </c>
      <c r="K51" s="801"/>
      <c r="L51" s="800">
        <f>SUM(H66:H68)</f>
        <v>6.8696723334416099</v>
      </c>
      <c r="M51" s="80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">
      <c r="B52" s="112" t="s">
        <v>291</v>
      </c>
      <c r="C52" s="113"/>
      <c r="D52" s="114"/>
      <c r="E52" s="114"/>
      <c r="F52" s="114"/>
      <c r="G52" s="114"/>
      <c r="H52" s="115">
        <f>H54+SUM(H57:H60)+SUM(H66:H68)</f>
        <v>32.319672333441609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">
      <c r="B54" s="38" t="s">
        <v>292</v>
      </c>
      <c r="C54" s="27"/>
      <c r="D54" s="123">
        <f>D31</f>
        <v>53</v>
      </c>
      <c r="E54" s="41">
        <f>IF(AND($B$26&lt;$F$2,$E$26&lt;$F$2),C6,IF($B$26&lt;$F$2,I6,F6))</f>
        <v>0.27400000000000002</v>
      </c>
      <c r="F54" s="41">
        <f>IF(AND($B$26&lt;$F$2,$E$26&lt;$F$2),D6,IF($B$26&lt;$F$2,J6,G6))</f>
        <v>0.19802</v>
      </c>
      <c r="G54" s="41">
        <f>E54+F54</f>
        <v>0.47202</v>
      </c>
      <c r="H54" s="42">
        <f>ROUND((D54*E54),2)+ROUND((D54*F54),2)</f>
        <v>25.02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">
      <c r="B57" s="38" t="s">
        <v>268</v>
      </c>
      <c r="C57" s="27"/>
      <c r="D57" s="47">
        <f>IF($I$24=$M$23,(D54*(I26)/(I26+J26)),0)+IF($J$24=$M$23,(D54*(J26)/(I26+J26)),0)</f>
        <v>22.966666666666665</v>
      </c>
      <c r="E57" s="27"/>
      <c r="F57" s="48">
        <f>N23</f>
        <v>1.8849999999999999E-2</v>
      </c>
      <c r="G57" s="48"/>
      <c r="H57" s="42">
        <f>ROUND(D57*(E57+F57),2)</f>
        <v>0.43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">
      <c r="B58" s="38" t="s">
        <v>269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">
      <c r="B59" s="38" t="s">
        <v>270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">
      <c r="B60" s="38" t="s">
        <v>280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">
      <c r="B65" s="38"/>
      <c r="C65" s="27"/>
      <c r="D65" s="23" t="s">
        <v>286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">
      <c r="B66" s="38" t="s">
        <v>282</v>
      </c>
      <c r="C66" s="27"/>
      <c r="D66" s="62">
        <f>(H54+H57+H58+H59+H60)/(1-(E66+E67))</f>
        <v>26.502134749557428</v>
      </c>
      <c r="E66" s="215">
        <f>N31</f>
        <v>7.1000000000000004E-3</v>
      </c>
      <c r="F66" s="27"/>
      <c r="G66" s="27"/>
      <c r="H66" s="42">
        <f>D66*E66</f>
        <v>0.18816515672185774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">
      <c r="B67" s="38" t="s">
        <v>265</v>
      </c>
      <c r="C67" s="27"/>
      <c r="D67" s="62">
        <f>D66</f>
        <v>26.502134749557428</v>
      </c>
      <c r="E67" s="215">
        <f>N32</f>
        <v>3.2599999999999997E-2</v>
      </c>
      <c r="F67" s="27"/>
      <c r="G67" s="27"/>
      <c r="H67" s="42">
        <f>D67*E67</f>
        <v>0.86396959283557206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">
      <c r="B68" s="38" t="s">
        <v>283</v>
      </c>
      <c r="C68" s="27"/>
      <c r="D68" s="62">
        <f>SUM(H31:H35)</f>
        <v>32.319653243801</v>
      </c>
      <c r="E68" s="249">
        <f>I31</f>
        <v>0.18</v>
      </c>
      <c r="F68" s="27"/>
      <c r="G68" s="27"/>
      <c r="H68" s="42">
        <f>D68*E68</f>
        <v>5.8175375838841799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">
      <c r="B73" s="35" t="s">
        <v>198</v>
      </c>
      <c r="C73" s="35"/>
    </row>
    <row r="74" spans="2:25" hidden="1" x14ac:dyDescent="0.3">
      <c r="B74" s="35" t="s">
        <v>199</v>
      </c>
      <c r="C74" s="35"/>
    </row>
    <row r="75" spans="2:25" hidden="1" x14ac:dyDescent="0.3">
      <c r="B75" s="35" t="s">
        <v>200</v>
      </c>
      <c r="C75" s="35"/>
    </row>
    <row r="76" spans="2:25" hidden="1" x14ac:dyDescent="0.3">
      <c r="B76" s="35" t="s">
        <v>201</v>
      </c>
      <c r="C76" s="35"/>
    </row>
    <row r="77" spans="2:25" hidden="1" x14ac:dyDescent="0.3">
      <c r="B77" s="35" t="s">
        <v>202</v>
      </c>
      <c r="C77" s="35"/>
    </row>
    <row r="78" spans="2:25" hidden="1" x14ac:dyDescent="0.3">
      <c r="B78" s="35" t="s">
        <v>203</v>
      </c>
      <c r="C78" s="35"/>
    </row>
    <row r="79" spans="2:25" hidden="1" x14ac:dyDescent="0.3">
      <c r="B79" s="35" t="s">
        <v>204</v>
      </c>
      <c r="C79" s="35"/>
    </row>
    <row r="80" spans="2:25" hidden="1" x14ac:dyDescent="0.3">
      <c r="E80" s="142"/>
    </row>
    <row r="81" spans="2:10" x14ac:dyDescent="0.3">
      <c r="B81" s="35">
        <v>2025</v>
      </c>
      <c r="C81" s="35"/>
      <c r="D81" s="305" t="s">
        <v>190</v>
      </c>
      <c r="E81" s="305" t="s">
        <v>191</v>
      </c>
      <c r="F81" s="305" t="s">
        <v>192</v>
      </c>
      <c r="G81" s="305" t="s">
        <v>193</v>
      </c>
    </row>
    <row r="82" spans="2:10" x14ac:dyDescent="0.3">
      <c r="B82" s="35" t="s">
        <v>194</v>
      </c>
      <c r="C82" s="35"/>
      <c r="D82" s="305" t="s">
        <v>195</v>
      </c>
      <c r="E82" s="305" t="s">
        <v>195</v>
      </c>
      <c r="F82" s="305" t="s">
        <v>195</v>
      </c>
      <c r="G82" s="305" t="s">
        <v>195</v>
      </c>
    </row>
    <row r="83" spans="2:10" x14ac:dyDescent="0.3">
      <c r="B83" s="35"/>
      <c r="C83" s="35"/>
      <c r="D83" s="35"/>
      <c r="E83" s="35"/>
      <c r="F83" s="35"/>
      <c r="G83" s="35"/>
    </row>
    <row r="84" spans="2:10" x14ac:dyDescent="0.3">
      <c r="B84" s="35" t="s">
        <v>196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">
      <c r="B85" s="35" t="s">
        <v>197</v>
      </c>
      <c r="C85" s="35"/>
      <c r="D85" s="71">
        <v>0.51666134768573579</v>
      </c>
      <c r="E85" s="71">
        <v>0.11059369866547396</v>
      </c>
      <c r="F85" s="71">
        <v>0.32823985750000007</v>
      </c>
      <c r="G85" s="71">
        <v>4.4505096148790169E-2</v>
      </c>
    </row>
    <row r="86" spans="2:10" x14ac:dyDescent="0.3">
      <c r="B86" s="35" t="s">
        <v>198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">
      <c r="B87" s="35" t="s">
        <v>199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  <c r="J87" s="30"/>
    </row>
    <row r="88" spans="2:10" x14ac:dyDescent="0.3">
      <c r="B88" s="35" t="s">
        <v>200</v>
      </c>
      <c r="C88" s="35"/>
      <c r="D88" s="71">
        <v>0.39769197799808981</v>
      </c>
      <c r="E88" s="71">
        <v>8.512776690845017E-2</v>
      </c>
      <c r="F88" s="71">
        <v>0.25265748787228293</v>
      </c>
      <c r="G88" s="71">
        <v>0.26452276722117707</v>
      </c>
    </row>
    <row r="89" spans="2:10" x14ac:dyDescent="0.3">
      <c r="B89" s="35" t="s">
        <v>201</v>
      </c>
      <c r="C89" s="35"/>
      <c r="D89" s="71">
        <v>0.39769197799808981</v>
      </c>
      <c r="E89" s="71">
        <v>8.512776690845017E-2</v>
      </c>
      <c r="F89" s="71">
        <v>0.25265748787228293</v>
      </c>
      <c r="G89" s="71">
        <v>0.26452276722117707</v>
      </c>
    </row>
    <row r="90" spans="2:10" x14ac:dyDescent="0.3">
      <c r="B90" s="35" t="s">
        <v>202</v>
      </c>
      <c r="C90" s="35"/>
      <c r="D90" s="71">
        <v>0.39769197799808981</v>
      </c>
      <c r="E90" s="71">
        <v>8.512776690845017E-2</v>
      </c>
      <c r="F90" s="71">
        <v>0.25265748787228293</v>
      </c>
      <c r="G90" s="71">
        <v>0.26452276722117707</v>
      </c>
    </row>
    <row r="91" spans="2:10" x14ac:dyDescent="0.3">
      <c r="B91" s="35" t="s">
        <v>203</v>
      </c>
      <c r="C91" s="35"/>
      <c r="D91" s="71">
        <v>0.39769197799808981</v>
      </c>
      <c r="E91" s="71">
        <v>8.512776690845017E-2</v>
      </c>
      <c r="F91" s="71">
        <v>0.25265748787228293</v>
      </c>
      <c r="G91" s="71">
        <v>0.26452276722117707</v>
      </c>
    </row>
    <row r="92" spans="2:10" x14ac:dyDescent="0.3">
      <c r="B92" s="35" t="s">
        <v>204</v>
      </c>
      <c r="C92" s="35"/>
      <c r="D92" s="71">
        <v>0.39769197799808981</v>
      </c>
      <c r="E92" s="71">
        <v>8.512776690845017E-2</v>
      </c>
      <c r="F92" s="71">
        <v>0.25265748787228293</v>
      </c>
      <c r="G92" s="71">
        <v>0.26452276722117707</v>
      </c>
    </row>
    <row r="93" spans="2:10" x14ac:dyDescent="0.3">
      <c r="B93" s="64"/>
      <c r="C93" s="64"/>
      <c r="D93" s="64"/>
      <c r="E93" s="64"/>
      <c r="F93" s="64"/>
      <c r="G93" s="64"/>
    </row>
    <row r="94" spans="2:10" x14ac:dyDescent="0.3">
      <c r="B94" s="64"/>
      <c r="C94" s="64"/>
      <c r="D94" s="64"/>
      <c r="E94" s="64"/>
      <c r="F94" s="64"/>
      <c r="G94" s="64"/>
    </row>
    <row r="95" spans="2:10" x14ac:dyDescent="0.3">
      <c r="B95" s="35">
        <v>2024</v>
      </c>
      <c r="C95" s="35"/>
      <c r="D95" s="305" t="s">
        <v>190</v>
      </c>
      <c r="E95" s="305" t="s">
        <v>191</v>
      </c>
      <c r="F95" s="305" t="s">
        <v>192</v>
      </c>
      <c r="G95" s="305" t="s">
        <v>193</v>
      </c>
    </row>
    <row r="96" spans="2:10" x14ac:dyDescent="0.3">
      <c r="B96" s="35" t="s">
        <v>194</v>
      </c>
      <c r="C96" s="35"/>
      <c r="D96" s="305" t="s">
        <v>195</v>
      </c>
      <c r="E96" s="305" t="s">
        <v>195</v>
      </c>
      <c r="F96" s="305" t="s">
        <v>195</v>
      </c>
      <c r="G96" s="305" t="s">
        <v>195</v>
      </c>
    </row>
    <row r="97" spans="2:7" x14ac:dyDescent="0.3">
      <c r="B97" s="35"/>
      <c r="C97" s="35"/>
      <c r="D97" s="35"/>
      <c r="E97" s="35"/>
      <c r="F97" s="35"/>
      <c r="G97" s="35"/>
    </row>
    <row r="98" spans="2:7" x14ac:dyDescent="0.3">
      <c r="B98" s="35" t="s">
        <v>196</v>
      </c>
      <c r="C98" s="35"/>
      <c r="D98" s="71">
        <v>0.41273682960000002</v>
      </c>
      <c r="E98" s="71">
        <v>9.8534926200000011E-2</v>
      </c>
      <c r="F98" s="71">
        <v>0.2916348184</v>
      </c>
      <c r="G98" s="71">
        <v>0.19709700829999999</v>
      </c>
    </row>
    <row r="99" spans="2:7" x14ac:dyDescent="0.3">
      <c r="B99" s="35" t="s">
        <v>197</v>
      </c>
      <c r="C99" s="35"/>
      <c r="D99" s="71">
        <v>0.49306718250000003</v>
      </c>
      <c r="E99" s="71">
        <v>0.11771263169999999</v>
      </c>
      <c r="F99" s="71">
        <v>0.34839526770000001</v>
      </c>
      <c r="G99" s="71">
        <v>4.0810691699999999E-2</v>
      </c>
    </row>
    <row r="100" spans="2:7" x14ac:dyDescent="0.3">
      <c r="B100" s="35" t="s">
        <v>198</v>
      </c>
      <c r="C100" s="35"/>
      <c r="D100" s="71">
        <v>0.41273682960000002</v>
      </c>
      <c r="E100" s="71">
        <v>9.8534926200000011E-2</v>
      </c>
      <c r="F100" s="71">
        <v>0.2916348184</v>
      </c>
      <c r="G100" s="71">
        <v>0.19709700829999999</v>
      </c>
    </row>
    <row r="101" spans="2:7" x14ac:dyDescent="0.3">
      <c r="B101" s="35" t="s">
        <v>199</v>
      </c>
      <c r="C101" s="35"/>
      <c r="D101" s="71">
        <v>0.41273682960000002</v>
      </c>
      <c r="E101" s="71">
        <v>9.8534926200000011E-2</v>
      </c>
      <c r="F101" s="71">
        <v>0.2916348184</v>
      </c>
      <c r="G101" s="71">
        <v>0.19709700829999999</v>
      </c>
    </row>
    <row r="102" spans="2:7" x14ac:dyDescent="0.3">
      <c r="B102" s="35" t="s">
        <v>200</v>
      </c>
      <c r="C102" s="35"/>
      <c r="D102" s="71">
        <v>0.41273682960000002</v>
      </c>
      <c r="E102" s="71">
        <v>9.8534926200000011E-2</v>
      </c>
      <c r="F102" s="71">
        <v>0.2916348184</v>
      </c>
      <c r="G102" s="71">
        <v>0.19709700829999999</v>
      </c>
    </row>
    <row r="103" spans="2:7" x14ac:dyDescent="0.3">
      <c r="B103" s="35" t="s">
        <v>201</v>
      </c>
      <c r="C103" s="35"/>
      <c r="D103" s="71">
        <v>0.41273682960000002</v>
      </c>
      <c r="E103" s="71">
        <v>9.8534926200000011E-2</v>
      </c>
      <c r="F103" s="71">
        <v>0.2916348184</v>
      </c>
      <c r="G103" s="71">
        <v>0.19709700829999999</v>
      </c>
    </row>
    <row r="104" spans="2:7" x14ac:dyDescent="0.3">
      <c r="B104" s="35" t="s">
        <v>202</v>
      </c>
      <c r="C104" s="35"/>
      <c r="D104" s="71">
        <v>0.41273480010000002</v>
      </c>
      <c r="E104" s="71">
        <v>9.8534441600000008E-2</v>
      </c>
      <c r="F104" s="71">
        <v>0.29163338430000002</v>
      </c>
      <c r="G104" s="71">
        <v>0.19709603919999999</v>
      </c>
    </row>
    <row r="105" spans="2:7" x14ac:dyDescent="0.3">
      <c r="B105" s="35" t="s">
        <v>203</v>
      </c>
      <c r="C105" s="35"/>
      <c r="D105" s="71">
        <v>0.41274125779999998</v>
      </c>
      <c r="E105" s="71">
        <v>9.8535983300000005E-2</v>
      </c>
      <c r="F105" s="71">
        <v>0.29163794719999997</v>
      </c>
      <c r="G105" s="71">
        <v>0.19709912289999998</v>
      </c>
    </row>
    <row r="106" spans="2:7" x14ac:dyDescent="0.3">
      <c r="B106" s="35" t="s">
        <v>204</v>
      </c>
      <c r="C106" s="35"/>
      <c r="D106" s="71">
        <v>0.41273480010000002</v>
      </c>
      <c r="E106" s="71">
        <v>9.8534441600000008E-2</v>
      </c>
      <c r="F106" s="71">
        <v>0.29163338430000002</v>
      </c>
      <c r="G106" s="71">
        <v>0.19709603919999999</v>
      </c>
    </row>
    <row r="107" spans="2:7" x14ac:dyDescent="0.3">
      <c r="B107" s="64"/>
      <c r="C107" s="64"/>
      <c r="D107" s="64"/>
      <c r="E107" s="64"/>
      <c r="F107" s="64"/>
      <c r="G107" s="64"/>
    </row>
    <row r="108" spans="2:7" x14ac:dyDescent="0.3">
      <c r="B108" s="135" t="s">
        <v>284</v>
      </c>
      <c r="C108" s="64"/>
      <c r="D108" s="64"/>
      <c r="E108" s="64"/>
      <c r="F108" s="64"/>
      <c r="G108" s="64"/>
    </row>
    <row r="109" spans="2:7" x14ac:dyDescent="0.3">
      <c r="B109" s="35"/>
      <c r="C109" s="35"/>
      <c r="D109" s="305" t="s">
        <v>190</v>
      </c>
      <c r="E109" s="305" t="s">
        <v>191</v>
      </c>
      <c r="F109" s="305" t="s">
        <v>192</v>
      </c>
      <c r="G109" s="305" t="s">
        <v>193</v>
      </c>
    </row>
    <row r="110" spans="2:7" x14ac:dyDescent="0.3">
      <c r="B110" s="35" t="s">
        <v>194</v>
      </c>
      <c r="C110" s="35"/>
      <c r="D110" s="306" t="s">
        <v>195</v>
      </c>
      <c r="E110" s="306" t="s">
        <v>195</v>
      </c>
      <c r="F110" s="306" t="s">
        <v>195</v>
      </c>
      <c r="G110" s="306" t="s">
        <v>195</v>
      </c>
    </row>
    <row r="111" spans="2:7" x14ac:dyDescent="0.3">
      <c r="B111" s="35"/>
      <c r="C111" s="35"/>
      <c r="D111" s="71"/>
      <c r="E111" s="71"/>
      <c r="F111" s="71"/>
      <c r="G111" s="71"/>
    </row>
    <row r="112" spans="2:7" x14ac:dyDescent="0.3">
      <c r="B112" s="35" t="s">
        <v>196</v>
      </c>
      <c r="C112" s="35"/>
      <c r="D112" s="71">
        <f t="shared" ref="D112:G120" si="8">((D98*$C$26)+(D84*$D$26))/($C$26+$D$26)</f>
        <v>0.39769197799808981</v>
      </c>
      <c r="E112" s="71">
        <f t="shared" si="8"/>
        <v>8.512776690845017E-2</v>
      </c>
      <c r="F112" s="71">
        <f t="shared" si="8"/>
        <v>0.25265748787228293</v>
      </c>
      <c r="G112" s="71">
        <f t="shared" si="8"/>
        <v>0.26452276722117707</v>
      </c>
    </row>
    <row r="113" spans="2:7" x14ac:dyDescent="0.3">
      <c r="B113" s="35" t="s">
        <v>197</v>
      </c>
      <c r="C113" s="35"/>
      <c r="D113" s="71">
        <f t="shared" si="8"/>
        <v>0.51666134768573579</v>
      </c>
      <c r="E113" s="71">
        <f t="shared" si="8"/>
        <v>0.11059369866547396</v>
      </c>
      <c r="F113" s="71">
        <f t="shared" si="8"/>
        <v>0.32823985750000007</v>
      </c>
      <c r="G113" s="71">
        <f t="shared" si="8"/>
        <v>4.4505096148790169E-2</v>
      </c>
    </row>
    <row r="114" spans="2:7" x14ac:dyDescent="0.3">
      <c r="B114" s="35" t="s">
        <v>198</v>
      </c>
      <c r="C114" s="35"/>
      <c r="D114" s="71">
        <f t="shared" si="8"/>
        <v>0.39769197799808981</v>
      </c>
      <c r="E114" s="71">
        <f t="shared" si="8"/>
        <v>8.512776690845017E-2</v>
      </c>
      <c r="F114" s="71">
        <f t="shared" si="8"/>
        <v>0.25265748787228293</v>
      </c>
      <c r="G114" s="71">
        <f t="shared" si="8"/>
        <v>0.26452276722117707</v>
      </c>
    </row>
    <row r="115" spans="2:7" x14ac:dyDescent="0.3">
      <c r="B115" s="35" t="s">
        <v>199</v>
      </c>
      <c r="C115" s="35"/>
      <c r="D115" s="71">
        <f t="shared" si="8"/>
        <v>0.39769197799808981</v>
      </c>
      <c r="E115" s="71">
        <f t="shared" si="8"/>
        <v>8.512776690845017E-2</v>
      </c>
      <c r="F115" s="71">
        <f t="shared" si="8"/>
        <v>0.25265748787228293</v>
      </c>
      <c r="G115" s="71">
        <f t="shared" si="8"/>
        <v>0.26452276722117707</v>
      </c>
    </row>
    <row r="116" spans="2:7" x14ac:dyDescent="0.3">
      <c r="B116" s="35" t="s">
        <v>200</v>
      </c>
      <c r="C116" s="35"/>
      <c r="D116" s="71">
        <f t="shared" si="8"/>
        <v>0.39769197799808981</v>
      </c>
      <c r="E116" s="71">
        <f t="shared" si="8"/>
        <v>8.512776690845017E-2</v>
      </c>
      <c r="F116" s="71">
        <f t="shared" si="8"/>
        <v>0.25265748787228293</v>
      </c>
      <c r="G116" s="71">
        <f t="shared" si="8"/>
        <v>0.26452276722117707</v>
      </c>
    </row>
    <row r="117" spans="2:7" x14ac:dyDescent="0.3">
      <c r="B117" s="35" t="s">
        <v>201</v>
      </c>
      <c r="C117" s="35"/>
      <c r="D117" s="71">
        <f t="shared" si="8"/>
        <v>0.39769197799808981</v>
      </c>
      <c r="E117" s="71">
        <f t="shared" si="8"/>
        <v>8.512776690845017E-2</v>
      </c>
      <c r="F117" s="71">
        <f t="shared" si="8"/>
        <v>0.25265748787228293</v>
      </c>
      <c r="G117" s="71">
        <f t="shared" si="8"/>
        <v>0.26452276722117707</v>
      </c>
    </row>
    <row r="118" spans="2:7" x14ac:dyDescent="0.3">
      <c r="B118" s="35" t="s">
        <v>202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">
      <c r="B119" s="35" t="s">
        <v>203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  <row r="120" spans="2:7" x14ac:dyDescent="0.3">
      <c r="B120" s="35" t="s">
        <v>204</v>
      </c>
      <c r="C120" s="35"/>
      <c r="D120" s="71">
        <f t="shared" si="8"/>
        <v>0.39769197799808981</v>
      </c>
      <c r="E120" s="71">
        <f t="shared" si="8"/>
        <v>8.512776690845017E-2</v>
      </c>
      <c r="F120" s="71">
        <f t="shared" si="8"/>
        <v>0.25265748787228293</v>
      </c>
      <c r="G120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13" priority="1" operator="equal">
      <formula>"Escassez Hídrica"</formula>
    </cfRule>
    <cfRule type="cellIs" dxfId="12" priority="2" operator="equal">
      <formula>"VERDE"</formula>
    </cfRule>
    <cfRule type="cellIs" dxfId="11" priority="3" operator="equal">
      <formula>"BVM2"</formula>
    </cfRule>
    <cfRule type="cellIs" dxfId="10" priority="4" operator="equal">
      <formula>"BVM1"</formula>
    </cfRule>
    <cfRule type="cellIs" dxfId="9" priority="5" operator="equal">
      <formula>"BAM"</formula>
    </cfRule>
  </conditionalFormatting>
  <conditionalFormatting sqref="M22">
    <cfRule type="cellIs" dxfId="8" priority="11" operator="equal">
      <formula>"VERDE"</formula>
    </cfRule>
    <cfRule type="cellIs" dxfId="7" priority="12" operator="equal">
      <formula>"BVM2"</formula>
    </cfRule>
    <cfRule type="cellIs" dxfId="6" priority="13" operator="equal">
      <formula>"BVM1"</formula>
    </cfRule>
    <cfRule type="cellIs" dxfId="5" priority="14" operator="equal">
      <formula>"BAM"</formula>
    </cfRule>
  </conditionalFormatting>
  <conditionalFormatting sqref="M26">
    <cfRule type="containsText" dxfId="4" priority="6" operator="containsText" text="Escassez Hídrica">
      <formula>NOT(ISERROR(SEARCH("Escassez Hídrica",M26)))</formula>
    </cfRule>
    <cfRule type="cellIs" dxfId="3" priority="7" operator="equal">
      <formula>"VERDE"</formula>
    </cfRule>
    <cfRule type="cellIs" dxfId="2" priority="8" operator="equal">
      <formula>"BVM2"</formula>
    </cfRule>
    <cfRule type="cellIs" dxfId="1" priority="9" operator="equal">
      <formula>"BVM1"</formula>
    </cfRule>
    <cfRule type="cellIs" dxfId="0" priority="10" operator="equal">
      <formula>"BAM"</formula>
    </cfRule>
  </conditionalFormatting>
  <dataValidations count="2">
    <dataValidation type="list" allowBlank="1" showInputMessage="1" showErrorMessage="1" sqref="B12" xr:uid="{00000000-0002-0000-1700-000000000000}">
      <formula1>$B$71:$B$79</formula1>
    </dataValidation>
    <dataValidation type="list" allowBlank="1" showInputMessage="1" showErrorMessage="1" sqref="I24:J24" xr:uid="{00000000-0002-0000-17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>
    <tabColor rgb="FF92D050"/>
  </sheetPr>
  <dimension ref="A1"/>
  <sheetViews>
    <sheetView workbookViewId="0">
      <selection activeCell="O12" sqref="O1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d90c77e4-8c1b-4e11-87a9-bb5a727eda1c" xsi:nil="true"/>
    <lcf76f155ced4ddcb4097134ff3c332f xmlns="6bad04f9-c133-4c46-8320-96a6707dcce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F73EE34084C24EB01B98BF21246053" ma:contentTypeVersion="20" ma:contentTypeDescription="Create a new document." ma:contentTypeScope="" ma:versionID="561c1e16b8ddc03b137dd7cf2c1402f3">
  <xsd:schema xmlns:xsd="http://www.w3.org/2001/XMLSchema" xmlns:xs="http://www.w3.org/2001/XMLSchema" xmlns:p="http://schemas.microsoft.com/office/2006/metadata/properties" xmlns:ns1="http://schemas.microsoft.com/sharepoint/v3" xmlns:ns2="6bad04f9-c133-4c46-8320-96a6707dcce8" xmlns:ns3="d90c77e4-8c1b-4e11-87a9-bb5a727eda1c" targetNamespace="http://schemas.microsoft.com/office/2006/metadata/properties" ma:root="true" ma:fieldsID="39da93e48ba75ca5567450b11b14f8a2" ns1:_="" ns2:_="" ns3:_="">
    <xsd:import namespace="http://schemas.microsoft.com/sharepoint/v3"/>
    <xsd:import namespace="6bad04f9-c133-4c46-8320-96a6707dcce8"/>
    <xsd:import namespace="d90c77e4-8c1b-4e11-87a9-bb5a727eda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ad04f9-c133-4c46-8320-96a6707dcc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313fef0e-ad1e-4996-aa84-7ac1ebeb22c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0c77e4-8c1b-4e11-87a9-bb5a727eda1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33fab30c-113e-4b6e-b76e-c371715eeef8}" ma:internalName="TaxCatchAll" ma:showField="CatchAllData" ma:web="d90c77e4-8c1b-4e11-87a9-bb5a727eda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F8FFB3-511D-447E-BF83-27D852099618}">
  <ds:schemaRefs>
    <ds:schemaRef ds:uri="http://purl.org/dc/dcmitype/"/>
    <ds:schemaRef ds:uri="d90c77e4-8c1b-4e11-87a9-bb5a727eda1c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6bad04f9-c133-4c46-8320-96a6707dcce8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000B886-2A55-47D5-A558-D74521B8E6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BB4A8-AFC7-4322-918C-1FD24CBD2E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bad04f9-c133-4c46-8320-96a6707dcce8"/>
    <ds:schemaRef ds:uri="d90c77e4-8c1b-4e11-87a9-bb5a727eda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25</vt:i4>
      </vt:variant>
    </vt:vector>
  </HeadingPairs>
  <TitlesOfParts>
    <vt:vector size="25" baseType="lpstr">
      <vt:lpstr>TARIFAS 2024</vt:lpstr>
      <vt:lpstr>TARIFAS 2025</vt:lpstr>
      <vt:lpstr>COMP 2025</vt:lpstr>
      <vt:lpstr>COMP 2024</vt:lpstr>
      <vt:lpstr>ESCASSEZ</vt:lpstr>
      <vt:lpstr>B1CDE </vt:lpstr>
      <vt:lpstr>B1CDE 0%</vt:lpstr>
      <vt:lpstr>B1C ICMS</vt:lpstr>
      <vt:lpstr>B1C</vt:lpstr>
      <vt:lpstr>B1CTB</vt:lpstr>
      <vt:lpstr>B2 </vt:lpstr>
      <vt:lpstr>B2 ICMS</vt:lpstr>
      <vt:lpstr>B2 (Irr) </vt:lpstr>
      <vt:lpstr>B2TB</vt:lpstr>
      <vt:lpstr>FIO B 2024</vt:lpstr>
      <vt:lpstr>B3</vt:lpstr>
      <vt:lpstr>FIO B 2025</vt:lpstr>
      <vt:lpstr>B3 IR</vt:lpstr>
      <vt:lpstr>B3 TB</vt:lpstr>
      <vt:lpstr>B3 PPF</vt:lpstr>
      <vt:lpstr>B3 CP</vt:lpstr>
      <vt:lpstr>B3 AES</vt:lpstr>
      <vt:lpstr>B4A</vt:lpstr>
      <vt:lpstr>B4B</vt:lpstr>
      <vt:lpstr>BANDEIRAS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 Moises Stasieniuk Cavalcante</dc:creator>
  <cp:keywords/>
  <dc:description/>
  <cp:lastModifiedBy>Andre Felipe Nascimento Machado EXTERNO</cp:lastModifiedBy>
  <cp:revision/>
  <dcterms:created xsi:type="dcterms:W3CDTF">2015-03-01T12:41:45Z</dcterms:created>
  <dcterms:modified xsi:type="dcterms:W3CDTF">2026-05-15T13:55:03Z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CTESTE SP CONV NFe.xlsm</vt:lpwstr>
  </property>
  <property fmtid="{D5CDD505-2E9C-101B-9397-08002B2CF9AE}" pid="3" name="MSIP_Label_9811530c-902c-4b75-8616-d6c82cd1332a_Enabled">
    <vt:lpwstr>true</vt:lpwstr>
  </property>
  <property fmtid="{D5CDD505-2E9C-101B-9397-08002B2CF9AE}" pid="4" name="MSIP_Label_9811530c-902c-4b75-8616-d6c82cd1332a_SetDate">
    <vt:lpwstr>2025-08-27T17:13:02Z</vt:lpwstr>
  </property>
  <property fmtid="{D5CDD505-2E9C-101B-9397-08002B2CF9AE}" pid="5" name="MSIP_Label_9811530c-902c-4b75-8616-d6c82cd1332a_Method">
    <vt:lpwstr>Privileged</vt:lpwstr>
  </property>
  <property fmtid="{D5CDD505-2E9C-101B-9397-08002B2CF9AE}" pid="6" name="MSIP_Label_9811530c-902c-4b75-8616-d6c82cd1332a_Name">
    <vt:lpwstr>9811530c-902c-4b75-8616-d6c82cd1332a</vt:lpwstr>
  </property>
  <property fmtid="{D5CDD505-2E9C-101B-9397-08002B2CF9AE}" pid="7" name="MSIP_Label_9811530c-902c-4b75-8616-d6c82cd1332a_SiteId">
    <vt:lpwstr>bf86fbdb-f8c2-440e-923c-05a60dc2bc9b</vt:lpwstr>
  </property>
  <property fmtid="{D5CDD505-2E9C-101B-9397-08002B2CF9AE}" pid="8" name="MSIP_Label_9811530c-902c-4b75-8616-d6c82cd1332a_ActionId">
    <vt:lpwstr>4b68d9ae-26cb-4642-b179-da6f13b47967</vt:lpwstr>
  </property>
  <property fmtid="{D5CDD505-2E9C-101B-9397-08002B2CF9AE}" pid="9" name="MSIP_Label_9811530c-902c-4b75-8616-d6c82cd1332a_ContentBits">
    <vt:lpwstr>0</vt:lpwstr>
  </property>
  <property fmtid="{D5CDD505-2E9C-101B-9397-08002B2CF9AE}" pid="10" name="ContentTypeId">
    <vt:lpwstr>0x01010033F73EE34084C24EB01B98BF21246053</vt:lpwstr>
  </property>
  <property fmtid="{D5CDD505-2E9C-101B-9397-08002B2CF9AE}" pid="11" name="MediaServiceImageTags">
    <vt:lpwstr/>
  </property>
</Properties>
</file>